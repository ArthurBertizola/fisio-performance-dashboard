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thu\OneDrive\Área de Trabalho\kkkkkkkkk\dashboard\"/>
    </mc:Choice>
  </mc:AlternateContent>
  <xr:revisionPtr revIDLastSave="0" documentId="13_ncr:1_{E2FA4948-42AE-487E-9E3A-F02B12C718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valiacao Inicial" sheetId="1" r:id="rId1"/>
  </sheets>
  <calcPr calcId="191029"/>
</workbook>
</file>

<file path=xl/calcChain.xml><?xml version="1.0" encoding="utf-8"?>
<calcChain xmlns="http://schemas.openxmlformats.org/spreadsheetml/2006/main">
  <c r="AA38" i="1" l="1"/>
  <c r="AA37" i="1"/>
  <c r="AA36" i="1"/>
  <c r="AA35" i="1"/>
  <c r="AA40" i="1"/>
  <c r="AA39" i="1"/>
  <c r="AA41" i="1"/>
  <c r="AA42" i="1"/>
  <c r="AA34" i="1"/>
  <c r="AA33" i="1"/>
  <c r="AA30" i="1"/>
  <c r="AA31" i="1"/>
  <c r="AA32" i="1"/>
  <c r="AA43" i="1"/>
  <c r="AA44" i="1"/>
  <c r="AA45" i="1"/>
  <c r="AA46" i="1"/>
  <c r="AA47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94" i="1"/>
  <c r="S76" i="1"/>
  <c r="S95" i="1"/>
  <c r="S98" i="1"/>
  <c r="S88" i="1"/>
  <c r="S81" i="1"/>
  <c r="S79" i="1"/>
  <c r="S83" i="1"/>
  <c r="S93" i="1"/>
  <c r="S89" i="1"/>
  <c r="S74" i="1"/>
  <c r="S80" i="1"/>
  <c r="S82" i="1"/>
  <c r="S84" i="1"/>
  <c r="S92" i="1"/>
  <c r="S97" i="1"/>
  <c r="S91" i="1"/>
  <c r="S78" i="1"/>
  <c r="S85" i="1"/>
  <c r="S86" i="1"/>
  <c r="S75" i="1"/>
  <c r="S99" i="1"/>
  <c r="S96" i="1"/>
  <c r="S77" i="1"/>
  <c r="S73" i="1"/>
  <c r="S87" i="1"/>
  <c r="S90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94" i="1"/>
  <c r="AD76" i="1"/>
  <c r="AD95" i="1"/>
  <c r="AD98" i="1"/>
  <c r="AD88" i="1"/>
  <c r="AD81" i="1"/>
  <c r="AD79" i="1"/>
  <c r="AD83" i="1"/>
  <c r="AD93" i="1"/>
  <c r="AD89" i="1"/>
  <c r="AD74" i="1"/>
  <c r="AD80" i="1"/>
  <c r="AD82" i="1"/>
  <c r="AD84" i="1"/>
  <c r="AD92" i="1"/>
  <c r="AD97" i="1"/>
  <c r="AD91" i="1"/>
  <c r="AD78" i="1"/>
  <c r="AD85" i="1"/>
  <c r="AD86" i="1"/>
  <c r="AD75" i="1"/>
  <c r="AD99" i="1"/>
  <c r="AD96" i="1"/>
  <c r="AD77" i="1"/>
  <c r="AD73" i="1"/>
  <c r="AD87" i="1"/>
  <c r="AD90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94" i="1"/>
  <c r="AA76" i="1"/>
  <c r="AA95" i="1"/>
  <c r="AA98" i="1"/>
  <c r="AA88" i="1"/>
  <c r="AA81" i="1"/>
  <c r="AA79" i="1"/>
  <c r="AA83" i="1"/>
  <c r="AA93" i="1"/>
  <c r="AA89" i="1"/>
  <c r="AA74" i="1"/>
  <c r="AA80" i="1"/>
  <c r="AA82" i="1"/>
  <c r="AA84" i="1"/>
  <c r="AA92" i="1"/>
  <c r="AA97" i="1"/>
  <c r="AA91" i="1"/>
  <c r="AA78" i="1"/>
  <c r="AA85" i="1"/>
  <c r="AA86" i="1"/>
  <c r="AA75" i="1"/>
  <c r="AA99" i="1"/>
  <c r="AA96" i="1"/>
  <c r="AA77" i="1"/>
  <c r="AA73" i="1"/>
  <c r="AA87" i="1"/>
  <c r="AA90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94" i="1"/>
  <c r="X76" i="1"/>
  <c r="X95" i="1"/>
  <c r="X98" i="1"/>
  <c r="X88" i="1"/>
  <c r="X81" i="1"/>
  <c r="X79" i="1"/>
  <c r="X83" i="1"/>
  <c r="X93" i="1"/>
  <c r="X89" i="1"/>
  <c r="X74" i="1"/>
  <c r="X80" i="1"/>
  <c r="X82" i="1"/>
  <c r="X84" i="1"/>
  <c r="X92" i="1"/>
  <c r="X97" i="1"/>
  <c r="X91" i="1"/>
  <c r="X78" i="1"/>
  <c r="X85" i="1"/>
  <c r="X86" i="1"/>
  <c r="X75" i="1"/>
  <c r="X99" i="1"/>
  <c r="X96" i="1"/>
  <c r="X77" i="1"/>
  <c r="X73" i="1"/>
  <c r="X87" i="1"/>
  <c r="X90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94" i="1"/>
  <c r="M76" i="1"/>
  <c r="M95" i="1"/>
  <c r="M98" i="1"/>
  <c r="M88" i="1"/>
  <c r="M81" i="1"/>
  <c r="M79" i="1"/>
  <c r="M83" i="1"/>
  <c r="M93" i="1"/>
  <c r="M89" i="1"/>
  <c r="M74" i="1"/>
  <c r="M80" i="1"/>
  <c r="M82" i="1"/>
  <c r="M84" i="1"/>
  <c r="M92" i="1"/>
  <c r="M97" i="1"/>
  <c r="M91" i="1"/>
  <c r="M78" i="1"/>
  <c r="M85" i="1"/>
  <c r="M86" i="1"/>
  <c r="M75" i="1"/>
  <c r="M99" i="1"/>
  <c r="M96" i="1"/>
  <c r="M77" i="1"/>
  <c r="M73" i="1"/>
  <c r="M87" i="1"/>
  <c r="M90" i="1"/>
  <c r="P90" i="1"/>
  <c r="P87" i="1"/>
  <c r="P73" i="1"/>
  <c r="P77" i="1"/>
  <c r="P96" i="1"/>
  <c r="P99" i="1"/>
  <c r="P75" i="1"/>
  <c r="P86" i="1"/>
  <c r="P85" i="1"/>
  <c r="P78" i="1"/>
  <c r="P91" i="1"/>
  <c r="P97" i="1"/>
  <c r="P92" i="1"/>
  <c r="P84" i="1"/>
  <c r="P82" i="1"/>
  <c r="P80" i="1"/>
  <c r="P74" i="1"/>
  <c r="P89" i="1"/>
  <c r="P93" i="1"/>
  <c r="P83" i="1"/>
  <c r="P79" i="1"/>
  <c r="P81" i="1"/>
  <c r="P88" i="1"/>
  <c r="P98" i="1"/>
  <c r="P95" i="1"/>
  <c r="P76" i="1"/>
  <c r="P94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AA14" i="1"/>
  <c r="AA21" i="1"/>
  <c r="AA5" i="1"/>
  <c r="AA16" i="1"/>
  <c r="AA2" i="1"/>
  <c r="AA9" i="1"/>
  <c r="AA10" i="1"/>
  <c r="AA13" i="1"/>
  <c r="AA25" i="1"/>
  <c r="AA18" i="1"/>
  <c r="AA8" i="1"/>
  <c r="AA28" i="1"/>
  <c r="AA22" i="1"/>
  <c r="AA27" i="1"/>
  <c r="AA6" i="1"/>
  <c r="AA11" i="1"/>
  <c r="AA3" i="1"/>
  <c r="AA20" i="1"/>
  <c r="AA23" i="1"/>
  <c r="AA26" i="1"/>
  <c r="AA7" i="1"/>
  <c r="AA15" i="1"/>
  <c r="AA19" i="1"/>
  <c r="AA4" i="1"/>
  <c r="AA24" i="1"/>
  <c r="AA17" i="1"/>
  <c r="AA12" i="1"/>
  <c r="AA29" i="1"/>
  <c r="P21" i="1"/>
  <c r="P5" i="1"/>
  <c r="P16" i="1"/>
  <c r="P2" i="1"/>
  <c r="P9" i="1"/>
  <c r="P10" i="1"/>
  <c r="P13" i="1"/>
  <c r="P25" i="1"/>
  <c r="P18" i="1"/>
  <c r="P8" i="1"/>
  <c r="P28" i="1"/>
  <c r="P22" i="1"/>
  <c r="P27" i="1"/>
  <c r="P6" i="1"/>
  <c r="P11" i="1"/>
  <c r="P3" i="1"/>
  <c r="P20" i="1"/>
  <c r="P23" i="1"/>
  <c r="P26" i="1"/>
  <c r="P7" i="1"/>
  <c r="P15" i="1"/>
  <c r="P19" i="1"/>
  <c r="P4" i="1"/>
  <c r="P24" i="1"/>
  <c r="P17" i="1"/>
  <c r="P12" i="1"/>
  <c r="P29" i="1"/>
  <c r="P14" i="1"/>
  <c r="X21" i="1"/>
  <c r="X5" i="1"/>
  <c r="X16" i="1"/>
  <c r="X2" i="1"/>
  <c r="X9" i="1"/>
  <c r="X10" i="1"/>
  <c r="X13" i="1"/>
  <c r="X25" i="1"/>
  <c r="X18" i="1"/>
  <c r="X8" i="1"/>
  <c r="X28" i="1"/>
  <c r="X22" i="1"/>
  <c r="X27" i="1"/>
  <c r="X6" i="1"/>
  <c r="X11" i="1"/>
  <c r="X3" i="1"/>
  <c r="X20" i="1"/>
  <c r="X23" i="1"/>
  <c r="X26" i="1"/>
  <c r="X7" i="1"/>
  <c r="X15" i="1"/>
  <c r="X19" i="1"/>
  <c r="X4" i="1"/>
  <c r="X24" i="1"/>
  <c r="X17" i="1"/>
  <c r="X12" i="1"/>
  <c r="X29" i="1"/>
  <c r="X14" i="1"/>
  <c r="S21" i="1"/>
  <c r="S5" i="1"/>
  <c r="S16" i="1"/>
  <c r="S2" i="1"/>
  <c r="S9" i="1"/>
  <c r="S10" i="1"/>
  <c r="S13" i="1"/>
  <c r="S25" i="1"/>
  <c r="S18" i="1"/>
  <c r="S8" i="1"/>
  <c r="S28" i="1"/>
  <c r="S22" i="1"/>
  <c r="S27" i="1"/>
  <c r="S6" i="1"/>
  <c r="S11" i="1"/>
  <c r="S3" i="1"/>
  <c r="S20" i="1"/>
  <c r="S23" i="1"/>
  <c r="S26" i="1"/>
  <c r="S7" i="1"/>
  <c r="S15" i="1"/>
  <c r="S19" i="1"/>
  <c r="S4" i="1"/>
  <c r="S24" i="1"/>
  <c r="S17" i="1"/>
  <c r="S12" i="1"/>
  <c r="S29" i="1"/>
  <c r="S14" i="1"/>
  <c r="M21" i="1"/>
  <c r="M5" i="1"/>
  <c r="M16" i="1"/>
  <c r="M2" i="1"/>
  <c r="M9" i="1"/>
  <c r="M10" i="1"/>
  <c r="M13" i="1"/>
  <c r="M25" i="1"/>
  <c r="M18" i="1"/>
  <c r="M8" i="1"/>
  <c r="M28" i="1"/>
  <c r="M22" i="1"/>
  <c r="M27" i="1"/>
  <c r="M6" i="1"/>
  <c r="M11" i="1"/>
  <c r="M3" i="1"/>
  <c r="M20" i="1"/>
  <c r="M23" i="1"/>
  <c r="M26" i="1"/>
  <c r="M7" i="1"/>
  <c r="M15" i="1"/>
  <c r="M19" i="1"/>
  <c r="M4" i="1"/>
  <c r="M24" i="1"/>
  <c r="M17" i="1"/>
  <c r="M12" i="1"/>
  <c r="M29" i="1"/>
  <c r="M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Arthur Bertizola</author>
  </authors>
  <commentList>
    <comment ref="R11" authorId="0" shapeId="0" xr:uid="{77395064-90FA-42CF-B05C-FF82DAEE2E0A}">
      <text>
        <r>
          <rPr>
            <b/>
            <sz val="9"/>
            <color indexed="81"/>
            <rFont val="Segoe UI"/>
            <family val="2"/>
          </rPr>
          <t>Arthur Bertizola:</t>
        </r>
        <r>
          <rPr>
            <sz val="9"/>
            <color indexed="81"/>
            <rFont val="Segoe UI"/>
            <family val="2"/>
          </rPr>
          <t xml:space="preserve">
com dor</t>
        </r>
      </text>
    </comment>
  </commentList>
</comments>
</file>

<file path=xl/sharedStrings.xml><?xml version="1.0" encoding="utf-8"?>
<sst xmlns="http://schemas.openxmlformats.org/spreadsheetml/2006/main" count="911" uniqueCount="220">
  <si>
    <t>Data</t>
  </si>
  <si>
    <t>Nome</t>
  </si>
  <si>
    <t>Idade</t>
  </si>
  <si>
    <t>Altura</t>
  </si>
  <si>
    <t>Peso</t>
  </si>
  <si>
    <t>Posição</t>
  </si>
  <si>
    <t>Thomas D</t>
  </si>
  <si>
    <t>Thomas E</t>
  </si>
  <si>
    <t>WBLT D</t>
  </si>
  <si>
    <t>WBLT E</t>
  </si>
  <si>
    <t>Prancha D</t>
  </si>
  <si>
    <t>Prancha E</t>
  </si>
  <si>
    <t>Ponte D</t>
  </si>
  <si>
    <t>Ponte E</t>
  </si>
  <si>
    <t>Agach D</t>
  </si>
  <si>
    <t>Agach E</t>
  </si>
  <si>
    <t>Hop D</t>
  </si>
  <si>
    <t>Hop E</t>
  </si>
  <si>
    <t>Quadri D</t>
  </si>
  <si>
    <t>Quadri E</t>
  </si>
  <si>
    <t>Desconforto panturrilha direita</t>
  </si>
  <si>
    <t>Retofemural</t>
  </si>
  <si>
    <t>Valgo dinâmico</t>
  </si>
  <si>
    <t>Leve valgismo</t>
  </si>
  <si>
    <t>Luisa Santos</t>
  </si>
  <si>
    <t>Entorse tornozelo direito</t>
  </si>
  <si>
    <t>Entorse tornozelo esquerdo</t>
  </si>
  <si>
    <t>Ketlen Aguiar</t>
  </si>
  <si>
    <t>Ana Clara Martins</t>
  </si>
  <si>
    <t>Menisco Direito</t>
  </si>
  <si>
    <t>Joelho direito</t>
  </si>
  <si>
    <t>valgismo leve</t>
  </si>
  <si>
    <t>Natalia Caetano</t>
  </si>
  <si>
    <t>Lais Julia</t>
  </si>
  <si>
    <t>Trauma tornozelo Direito 2025 / Fratura 5 metacarpo esquerdo e 4 metacarpo direito</t>
  </si>
  <si>
    <t>LCA e Menisco Esquerdo</t>
  </si>
  <si>
    <t>Entorse tornozelo esquerdo 2 meses / entorse tornozelo direito 4 meses</t>
  </si>
  <si>
    <t>joelhos</t>
  </si>
  <si>
    <t>Estiramento panturrilha esquerda / Fratura polegar direita</t>
  </si>
  <si>
    <t>punho esquerdo</t>
  </si>
  <si>
    <t>Dor em Aquiles / Apendicite</t>
  </si>
  <si>
    <t>Lilian Rodrigues</t>
  </si>
  <si>
    <t>Mirela dos Santos</t>
  </si>
  <si>
    <t>Entorse tornozelos bilateral</t>
  </si>
  <si>
    <t>Natalia Neves</t>
  </si>
  <si>
    <t>Emily Cristina</t>
  </si>
  <si>
    <t>Entorse tornozelos bilateral / Deslocamento cotovelo direito</t>
  </si>
  <si>
    <t>Tendinite fibular posterior direito / Estiramento posterior de coxa direita</t>
  </si>
  <si>
    <t>Varo dinamico</t>
  </si>
  <si>
    <t>Entorse tornozelo esquerdo / fratura tornozelo direito</t>
  </si>
  <si>
    <t>Naiani Arcanjo</t>
  </si>
  <si>
    <t>valgo dinâmico com muita dor</t>
  </si>
  <si>
    <t>Ketlen Marcelly Oliveira Ramos</t>
  </si>
  <si>
    <t>valgo dinâmico com dor</t>
  </si>
  <si>
    <t>Isadora Rodrigues</t>
  </si>
  <si>
    <t>escoriação pé esquerdo</t>
  </si>
  <si>
    <t>valgo dinâmico</t>
  </si>
  <si>
    <t>Yasmim Kamile Ramos Gomes</t>
  </si>
  <si>
    <t>Prancha D + E</t>
  </si>
  <si>
    <t>WBLT D + E</t>
  </si>
  <si>
    <t>Ponte D + E</t>
  </si>
  <si>
    <t>Hop D + E</t>
  </si>
  <si>
    <t>Quadri D + E</t>
  </si>
  <si>
    <t>Fase</t>
  </si>
  <si>
    <t>lesões/cirurgias</t>
  </si>
  <si>
    <t>Ana Júlia dos Santos Raiol Figueiredo</t>
  </si>
  <si>
    <t>PRÉ-TEMPORADA JAN/2026</t>
  </si>
  <si>
    <t>CA</t>
  </si>
  <si>
    <t>NORMAL</t>
  </si>
  <si>
    <t>Valgo Dinamico</t>
  </si>
  <si>
    <t>MEI</t>
  </si>
  <si>
    <t>Valgo dinamico; Dor</t>
  </si>
  <si>
    <t>Valgo dinamico; Perda de equilibrio; Dor</t>
  </si>
  <si>
    <t>Ana Yara da Silva Sousa</t>
  </si>
  <si>
    <t>LD/LE</t>
  </si>
  <si>
    <t>Entorse tornozelo esquerdo / Condropatia joelho esquerdo</t>
  </si>
  <si>
    <t>TFL/Iliotibial</t>
  </si>
  <si>
    <t>Anna Beatriz Gomes</t>
  </si>
  <si>
    <t>LD</t>
  </si>
  <si>
    <t>SEM HISTÓRICO</t>
  </si>
  <si>
    <t>Reto-Femural</t>
  </si>
  <si>
    <t>Valgo dinamico; Queda Pelvica</t>
  </si>
  <si>
    <t>Valgo dinamico; Queda pelvica</t>
  </si>
  <si>
    <t>Beatriz Vitoria</t>
  </si>
  <si>
    <t>Dayane Leite Pereira</t>
  </si>
  <si>
    <t>ZAG</t>
  </si>
  <si>
    <t>Iliopsoas; TFL</t>
  </si>
  <si>
    <t>Valgo dinamico; Queda Pelvica; Perda de equilibrio</t>
  </si>
  <si>
    <t>Queda Pelvica</t>
  </si>
  <si>
    <t>Emily Diulian da luz Siqueira</t>
  </si>
  <si>
    <t>VOL</t>
  </si>
  <si>
    <t>Luxação Cotovelo direito, punho esquerdo; Tendinite ombro direito; Dor joelho Esquerdo</t>
  </si>
  <si>
    <t>Giovana Victoria Oliveira Lopes</t>
  </si>
  <si>
    <t>Iliopsoas / Reto-femural</t>
  </si>
  <si>
    <t>Reto-Femural / TFL</t>
  </si>
  <si>
    <t>Hillary Bruno de Oliveira</t>
  </si>
  <si>
    <t>Estiramento tornozelo direito; fissura punho direito</t>
  </si>
  <si>
    <t>Isabela de Oliveira Braga</t>
  </si>
  <si>
    <t>Estiramento aquiles esquerdo</t>
  </si>
  <si>
    <t>Iliopsoas/Reto-Femural</t>
  </si>
  <si>
    <t>PUBALGIA</t>
  </si>
  <si>
    <t>Jade Janine Bezerra de Souza</t>
  </si>
  <si>
    <t>Iliopsoas; Reto-Femural</t>
  </si>
  <si>
    <t>Janaina Esteves Antunes Bastos</t>
  </si>
  <si>
    <t>LE</t>
  </si>
  <si>
    <t>Fratura punho esquerdo; Dor em joelhos</t>
  </si>
  <si>
    <t>Valgo Dinamico; Dor</t>
  </si>
  <si>
    <t>Jenifer Fidelis Marques da Silva</t>
  </si>
  <si>
    <t>Iliopsoas/Reto-Femural/TFL</t>
  </si>
  <si>
    <t>Jhennifer Oliveira Mello</t>
  </si>
  <si>
    <t>Entorse tornozelo direito; Estiramento posterior Direito</t>
  </si>
  <si>
    <t>Joice Cristina Rodrigues da Silva</t>
  </si>
  <si>
    <t>Estiramento Adutor direito</t>
  </si>
  <si>
    <t>Kailane Sales</t>
  </si>
  <si>
    <t>Luxação Halux Direito</t>
  </si>
  <si>
    <t>Reto-Femural;TFL</t>
  </si>
  <si>
    <t>Valgo dinamico; Queda Pelvica; Dor</t>
  </si>
  <si>
    <t>Laura Afonço de Paula</t>
  </si>
  <si>
    <t>Luxação cronica ombro direito; Pubalgia; Lombalgia; entorse tornozelo esquerdo</t>
  </si>
  <si>
    <t>Leticia Antonella Woll</t>
  </si>
  <si>
    <t>Maria Eduarda dos Santos da Rocha</t>
  </si>
  <si>
    <t>Estiramento LCA esq 09/2025 / Entorse tornozeço esquerdo</t>
  </si>
  <si>
    <t>Entorse tornozelo direito; condropatia joelho esquerdo; luxação de cotovelo</t>
  </si>
  <si>
    <t>Nathalia Caetano Gonçalves</t>
  </si>
  <si>
    <t>condropatia joelho esquerdo</t>
  </si>
  <si>
    <t>Valgo Dinamico / Perda de equilibrio</t>
  </si>
  <si>
    <t>Raissa Borges Reis Silva</t>
  </si>
  <si>
    <t>Entorse tornozelo Direito</t>
  </si>
  <si>
    <t>Ryllary Mesquita de Oliveira</t>
  </si>
  <si>
    <t>Edema joelhos há 2 anos</t>
  </si>
  <si>
    <t>Taiane Silva da Conceição</t>
  </si>
  <si>
    <t>PD/PE</t>
  </si>
  <si>
    <t>Condropatia patelar Bilateral; Dor condral; estiramento aquiles esquerdo; lombalgia</t>
  </si>
  <si>
    <t>Queda pelvica; Perda de equilibrio</t>
  </si>
  <si>
    <t>Vitoria Regina do Nascimento</t>
  </si>
  <si>
    <t>GK</t>
  </si>
  <si>
    <t>Iliopsoas</t>
  </si>
  <si>
    <t>Yasmim Ribeiro Galupe Coelho</t>
  </si>
  <si>
    <t>MC</t>
  </si>
  <si>
    <t>Yasmin Camille Ramos Gomes</t>
  </si>
  <si>
    <t>Entorse tornozelo Direito; Dor joelho esquerdo</t>
  </si>
  <si>
    <t>Reto-Femural/ TFL</t>
  </si>
  <si>
    <t>Rafaella Valéria da Silva</t>
  </si>
  <si>
    <t>PRÉ-CAMPEONATO BRASILEIRO A3 2026</t>
  </si>
  <si>
    <t>Entorse tornozelo bilateral 2024</t>
  </si>
  <si>
    <t>Iliopsoas; TFL; Reto-Femural</t>
  </si>
  <si>
    <t>Ana Rita Alves Gomes Jardim</t>
  </si>
  <si>
    <t>Entorse Pé direito</t>
  </si>
  <si>
    <t>TFL</t>
  </si>
  <si>
    <t>VOL/LD</t>
  </si>
  <si>
    <t>Vitória Ribeiro Moreira</t>
  </si>
  <si>
    <t>Iliopsoas; Reto-femural</t>
  </si>
  <si>
    <t>Estiramento adutor direito</t>
  </si>
  <si>
    <t>Entorse tornozelo Esquerdo e Direito</t>
  </si>
  <si>
    <t>Iliopsoas; Reto-femural;TFL</t>
  </si>
  <si>
    <t>Isabele Cristina de Santana Chaves</t>
  </si>
  <si>
    <t>LE/PE</t>
  </si>
  <si>
    <t>Pubalgia / Fratura polegar direito</t>
  </si>
  <si>
    <t>condropatia joelho esquerdo / Estiramento panturrilha direita</t>
  </si>
  <si>
    <t>ENTORSE JOELHO ESQUERDO</t>
  </si>
  <si>
    <t>VOL/MC</t>
  </si>
  <si>
    <t>Estiramento Tendão de Aquiles Esquerdo</t>
  </si>
  <si>
    <t>Queda Pelvica; Perda de equilibrio; Dor</t>
  </si>
  <si>
    <t>Trauma em joelho esquerdo / Entorse tornozelo direito</t>
  </si>
  <si>
    <t>Valgo dinamico</t>
  </si>
  <si>
    <t>Bursite patelar</t>
  </si>
  <si>
    <t>MEI/PD</t>
  </si>
  <si>
    <t>Pubalgia / Luxação cronica ombro / Entorse tornozelo / Luxação de Punho / Lombalgia</t>
  </si>
  <si>
    <t>Valgo dinamico; Perda de equilibrio</t>
  </si>
  <si>
    <t>Perda de equilibrio</t>
  </si>
  <si>
    <t>Fratura punho esquerdo / Dor em Joelhos / Lombalgia</t>
  </si>
  <si>
    <t>Ana Karolina Barcelos Vieira Monteiro</t>
  </si>
  <si>
    <t>Entorse tornozelo bilateral / Estiramento aquiles esquerdo / Escafoide fraturado</t>
  </si>
  <si>
    <t>Joalina Bomfim Rosa</t>
  </si>
  <si>
    <t>Lara Attademo Pereira</t>
  </si>
  <si>
    <t>Destra</t>
  </si>
  <si>
    <t>Ambidestra</t>
  </si>
  <si>
    <t>Canhota</t>
  </si>
  <si>
    <t>Canhota / MÃO DIREITA</t>
  </si>
  <si>
    <t>Canhota/Mão Direita</t>
  </si>
  <si>
    <t>Isquios D</t>
  </si>
  <si>
    <t>Isquios E</t>
  </si>
  <si>
    <t>Isquios D + E</t>
  </si>
  <si>
    <t>M. Dominante</t>
  </si>
  <si>
    <t>Aghata Rafaelly Barros Peixoto</t>
  </si>
  <si>
    <t>Veronica Cardoso</t>
  </si>
  <si>
    <t>P.O LCA e Menisco Esquerdo / LCA + Menisco D (Vasco) (Perdeu 3 jogos)</t>
  </si>
  <si>
    <t>valgo dinamico</t>
  </si>
  <si>
    <t xml:space="preserve">Ana Yara da Silva Sousa </t>
  </si>
  <si>
    <t>Entorse tornozelo esquerdo / Estiramento panturrilha esquerda e LCM esquerdo (1 jogo perdido)</t>
  </si>
  <si>
    <t>psoas e reto</t>
  </si>
  <si>
    <t>não realizado por lesao</t>
  </si>
  <si>
    <t xml:space="preserve">Maria Eduarda dos Santos da Rocha </t>
  </si>
  <si>
    <t>Entorse tornozelo esquerdo 2 meses / entorse tornozelo direito 4 meses / Estiramento/ruptura de LCA esquerdo (Perdeu 5 jogos)</t>
  </si>
  <si>
    <t>varo</t>
  </si>
  <si>
    <t xml:space="preserve">Nathalia Caetano Gonçalves </t>
  </si>
  <si>
    <t xml:space="preserve">Taiane Silva da Conceição </t>
  </si>
  <si>
    <t>joelhos/ Condropatia e lombalgia</t>
  </si>
  <si>
    <t xml:space="preserve">Ana Júlia dos Santos Raiol Figueiredo </t>
  </si>
  <si>
    <t>Entorse tornozelo esquerdo / tendinopatia ombro esquerdo e entorse tornozelo esquerdo</t>
  </si>
  <si>
    <t>Dor em Aquiles / Apendicite / Dor muscular</t>
  </si>
  <si>
    <t>Estiramento panturrilha esquerda / Fratura polegar direita / Pubalgia esquerda e Lombalgia cronica</t>
  </si>
  <si>
    <t xml:space="preserve">Hillary Bruno de Oliveira </t>
  </si>
  <si>
    <t>Joelho direito / Fascite plantar direita , Dores musculares em posteriores</t>
  </si>
  <si>
    <t>Tendinite fibular posterior direito / Estiramento posterior de coxa direita / Entorse tornozelo direito / estiramento posterior bilateral</t>
  </si>
  <si>
    <t>reto+psoas+abdutor</t>
  </si>
  <si>
    <t xml:space="preserve">Emily Diulian da luz Siqueira </t>
  </si>
  <si>
    <t>Lombalgia cronica / entorse tornozelo esquerdo 10/2024/ pubalgia direita / condropatia patelar/ luxação cronica ombro direito 3x</t>
  </si>
  <si>
    <t>VOL/LD/LE/CA</t>
  </si>
  <si>
    <t>PD</t>
  </si>
  <si>
    <t>LD/LE/VOL</t>
  </si>
  <si>
    <t>ZAG/VOL</t>
  </si>
  <si>
    <t>CA/MEI</t>
  </si>
  <si>
    <t>CA / MEI / PD/PE</t>
  </si>
  <si>
    <t>CA /PD/PE</t>
  </si>
  <si>
    <t>MEI/PD/PE</t>
  </si>
  <si>
    <t>ZAG/LD/LE/VOL</t>
  </si>
  <si>
    <t>SEM HISTÓRICO/ Dor muscular</t>
  </si>
  <si>
    <t>Pré-Campeonato Carioca 25</t>
  </si>
  <si>
    <t>Pós Campeonato Carioca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</si>
</sst>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9C0006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</font>
    <font>
      <sz val="11"/>
      <color rgb="FF9C0006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C7CE"/>
        <bgColor rgb="FFFFC7CE"/>
      </patternFill>
    </fill>
    <fill>
      <patternFill patternType="solid">
        <fgColor rgb="FF92D050"/>
        <bgColor rgb="FF92D050"/>
      </patternFill>
    </fill>
    <fill>
      <patternFill patternType="solid">
        <fgColor rgb="FFFF8080"/>
        <bgColor rgb="FFFF808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EB6935"/>
        <bgColor rgb="FFEB6935"/>
      </patternFill>
    </fill>
    <fill>
      <patternFill patternType="solid">
        <fgColor rgb="FFFF4646"/>
        <bgColor rgb="FFFF4646"/>
      </patternFill>
    </fill>
    <fill>
      <patternFill patternType="solid">
        <fgColor rgb="FFFFF2F2"/>
        <bgColor rgb="FFFFF2F2"/>
      </patternFill>
    </fill>
    <fill>
      <patternFill patternType="solid">
        <fgColor rgb="FFFF5656"/>
        <bgColor rgb="FFFF5656"/>
      </patternFill>
    </fill>
    <fill>
      <patternFill patternType="solid">
        <fgColor rgb="FFFFC7C7"/>
        <bgColor rgb="FFFFC7C7"/>
      </patternFill>
    </fill>
    <fill>
      <patternFill patternType="solid">
        <fgColor rgb="FFFFA6A6"/>
        <bgColor rgb="FFFFA6A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8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5" fillId="0" borderId="1" xfId="0" applyFont="1" applyBorder="1"/>
    <xf numFmtId="0" fontId="2" fillId="2" borderId="1" xfId="1" applyBorder="1"/>
    <xf numFmtId="14" fontId="0" fillId="0" borderId="2" xfId="0" applyNumberFormat="1" applyBorder="1"/>
    <xf numFmtId="10" fontId="0" fillId="0" borderId="3" xfId="0" applyNumberFormat="1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14" fontId="0" fillId="0" borderId="7" xfId="0" applyNumberFormat="1" applyBorder="1"/>
    <xf numFmtId="0" fontId="0" fillId="0" borderId="8" xfId="0" applyBorder="1"/>
    <xf numFmtId="0" fontId="5" fillId="0" borderId="8" xfId="0" applyFont="1" applyBorder="1"/>
    <xf numFmtId="10" fontId="0" fillId="0" borderId="8" xfId="0" applyNumberFormat="1" applyBorder="1"/>
    <xf numFmtId="10" fontId="0" fillId="0" borderId="9" xfId="0" applyNumberFormat="1" applyBorder="1"/>
    <xf numFmtId="0" fontId="6" fillId="0" borderId="5" xfId="0" applyFont="1" applyBorder="1" applyAlignment="1">
      <alignment horizontal="center" vertical="top"/>
    </xf>
    <xf numFmtId="14" fontId="7" fillId="0" borderId="1" xfId="0" applyNumberFormat="1" applyFont="1" applyBorder="1"/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14" fontId="0" fillId="0" borderId="1" xfId="0" applyNumberFormat="1" applyBorder="1"/>
    <xf numFmtId="0" fontId="7" fillId="3" borderId="1" xfId="0" applyFont="1" applyFill="1" applyBorder="1"/>
    <xf numFmtId="0" fontId="7" fillId="4" borderId="1" xfId="0" applyFont="1" applyFill="1" applyBorder="1"/>
    <xf numFmtId="0" fontId="0" fillId="4" borderId="1" xfId="0" applyFill="1" applyBorder="1"/>
    <xf numFmtId="0" fontId="0" fillId="0" borderId="5" xfId="0" applyBorder="1"/>
    <xf numFmtId="0" fontId="7" fillId="0" borderId="5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0" fontId="10" fillId="5" borderId="1" xfId="0" applyFont="1" applyFill="1" applyBorder="1"/>
    <xf numFmtId="164" fontId="9" fillId="0" borderId="1" xfId="0" applyNumberFormat="1" applyFont="1" applyBorder="1"/>
    <xf numFmtId="0" fontId="5" fillId="6" borderId="8" xfId="0" applyFont="1" applyFill="1" applyBorder="1" applyAlignment="1">
      <alignment horizontal="right"/>
    </xf>
    <xf numFmtId="10" fontId="9" fillId="3" borderId="8" xfId="0" applyNumberFormat="1" applyFont="1" applyFill="1" applyBorder="1" applyAlignment="1">
      <alignment horizontal="right"/>
    </xf>
    <xf numFmtId="10" fontId="9" fillId="8" borderId="8" xfId="0" applyNumberFormat="1" applyFont="1" applyFill="1" applyBorder="1" applyAlignment="1">
      <alignment horizontal="right"/>
    </xf>
    <xf numFmtId="0" fontId="5" fillId="11" borderId="8" xfId="0" applyFont="1" applyFill="1" applyBorder="1" applyAlignment="1">
      <alignment horizontal="right"/>
    </xf>
    <xf numFmtId="10" fontId="9" fillId="3" borderId="9" xfId="0" applyNumberFormat="1" applyFont="1" applyFill="1" applyBorder="1" applyAlignment="1">
      <alignment horizontal="right"/>
    </xf>
    <xf numFmtId="14" fontId="9" fillId="0" borderId="1" xfId="0" applyNumberFormat="1" applyFont="1" applyBorder="1" applyAlignment="1">
      <alignment horizontal="right"/>
    </xf>
    <xf numFmtId="0" fontId="7" fillId="4" borderId="8" xfId="0" applyFont="1" applyFill="1" applyBorder="1"/>
    <xf numFmtId="0" fontId="5" fillId="9" borderId="8" xfId="0" applyFont="1" applyFill="1" applyBorder="1" applyAlignment="1">
      <alignment horizontal="right"/>
    </xf>
    <xf numFmtId="0" fontId="5" fillId="10" borderId="8" xfId="0" applyFont="1" applyFill="1" applyBorder="1" applyAlignment="1">
      <alignment horizontal="right"/>
    </xf>
    <xf numFmtId="10" fontId="9" fillId="15" borderId="8" xfId="0" applyNumberFormat="1" applyFont="1" applyFill="1" applyBorder="1" applyAlignment="1">
      <alignment horizontal="right"/>
    </xf>
    <xf numFmtId="10" fontId="9" fillId="12" borderId="8" xfId="0" applyNumberFormat="1" applyFont="1" applyFill="1" applyBorder="1" applyAlignment="1">
      <alignment horizontal="right"/>
    </xf>
    <xf numFmtId="10" fontId="9" fillId="8" borderId="9" xfId="0" applyNumberFormat="1" applyFont="1" applyFill="1" applyBorder="1" applyAlignment="1">
      <alignment horizontal="right"/>
    </xf>
    <xf numFmtId="10" fontId="9" fillId="14" borderId="9" xfId="0" applyNumberFormat="1" applyFont="1" applyFill="1" applyBorder="1" applyAlignment="1">
      <alignment horizontal="right"/>
    </xf>
    <xf numFmtId="0" fontId="0" fillId="0" borderId="3" xfId="0" applyBorder="1"/>
    <xf numFmtId="10" fontId="9" fillId="0" borderId="8" xfId="0" applyNumberFormat="1" applyFont="1" applyBorder="1" applyAlignment="1">
      <alignment horizontal="center"/>
    </xf>
    <xf numFmtId="10" fontId="9" fillId="13" borderId="8" xfId="0" applyNumberFormat="1" applyFont="1" applyFill="1" applyBorder="1" applyAlignment="1">
      <alignment horizontal="right"/>
    </xf>
    <xf numFmtId="10" fontId="9" fillId="7" borderId="8" xfId="0" applyNumberFormat="1" applyFont="1" applyFill="1" applyBorder="1" applyAlignment="1">
      <alignment horizontal="right"/>
    </xf>
    <xf numFmtId="10" fontId="9" fillId="16" borderId="8" xfId="0" applyNumberFormat="1" applyFont="1" applyFill="1" applyBorder="1" applyAlignment="1">
      <alignment horizontal="right"/>
    </xf>
    <xf numFmtId="0" fontId="7" fillId="0" borderId="8" xfId="0" applyFont="1" applyBorder="1"/>
  </cellXfs>
  <cellStyles count="2">
    <cellStyle name="Normal" xfId="0" builtinId="0"/>
    <cellStyle name="Ruim" xfId="1" builtinId="27"/>
  </cellStyles>
  <dxfs count="59">
    <dxf>
      <fill>
        <patternFill>
          <bgColor rgb="FF92D050"/>
        </patternFill>
      </fill>
    </dxf>
    <dxf>
      <fill>
        <patternFill>
          <bgColor rgb="FFEB6935"/>
        </patternFill>
      </fill>
    </dxf>
    <dxf>
      <fill>
        <patternFill>
          <bgColor rgb="FF92D050"/>
        </patternFill>
      </fill>
    </dxf>
    <dxf>
      <fill>
        <patternFill>
          <bgColor rgb="FFEB6935"/>
        </patternFill>
      </fill>
    </dxf>
    <dxf>
      <fill>
        <patternFill>
          <bgColor rgb="FF92D050"/>
        </patternFill>
      </fill>
    </dxf>
    <dxf>
      <fill>
        <patternFill>
          <bgColor rgb="FFEB693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m/d/yy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EB6935"/>
      <color rgb="FFF7683B"/>
      <color rgb="FF33CC33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70689F-14DE-46F3-BC6A-672F146E8006}" name="Tabela1" displayName="Tabela1" ref="A1:AE99" totalsRowShown="0" headerRowDxfId="58" headerRowBorderDxfId="57" tableBorderDxfId="56" totalsRowBorderDxfId="55">
  <autoFilter ref="A1:AE99" xr:uid="{EC70689F-14DE-46F3-BC6A-672F146E8006}"/>
  <sortState xmlns:xlrd2="http://schemas.microsoft.com/office/spreadsheetml/2017/richdata2" ref="A2:AE99">
    <sortCondition ref="A1:A99"/>
  </sortState>
  <tableColumns count="31">
    <tableColumn id="1" xr3:uid="{18029B51-657B-4173-8F7E-05A261EA9F9F}" name="Data" dataDxfId="54"/>
    <tableColumn id="2" xr3:uid="{553A7899-0B84-47A4-A6F0-A4AAE28F8391}" name="Nome" dataDxfId="53"/>
    <tableColumn id="3" xr3:uid="{210EC886-565C-423B-A894-C3266AD9A78A}" name="Idade" dataDxfId="52"/>
    <tableColumn id="4" xr3:uid="{E57E210E-B8C1-4570-B2AE-1BE46241065D}" name="Altura" dataDxfId="51"/>
    <tableColumn id="5" xr3:uid="{E9551EA5-8AF8-4023-B5F3-04D99E69BB69}" name="Peso" dataDxfId="50"/>
    <tableColumn id="6" xr3:uid="{BAF8BEEB-3061-4D8F-82E3-A819FC66324A}" name="Fase" dataDxfId="49"/>
    <tableColumn id="7" xr3:uid="{E2E5362C-DFF7-4516-A2BC-297BF0256DAB}" name="Posição" dataDxfId="48"/>
    <tableColumn id="8" xr3:uid="{A0F23B40-24B8-421C-8A4D-426BA7B12282}" name="lesões/cirurgias" dataDxfId="47"/>
    <tableColumn id="9" xr3:uid="{5934C2D1-1E4D-4652-9A76-89977D4E9C11}" name="Thomas D" dataDxfId="46"/>
    <tableColumn id="10" xr3:uid="{6B167D88-28A7-426D-B923-04435D05BF13}" name="Thomas E" dataDxfId="45"/>
    <tableColumn id="11" xr3:uid="{3FF89A5B-063A-4988-AF5C-1B6DF6C6A480}" name="WBLT D" dataDxfId="44"/>
    <tableColumn id="12" xr3:uid="{57E5B1D2-4E51-4DA7-9B44-2E7D76FCC7E7}" name="WBLT E" dataDxfId="43"/>
    <tableColumn id="13" xr3:uid="{54874161-D3DB-4077-B39A-1A38B4BFCB47}" name="WBLT D + E" dataDxfId="42">
      <calculatedColumnFormula>ABS((L2-K2)/K2)*100%</calculatedColumnFormula>
    </tableColumn>
    <tableColumn id="14" xr3:uid="{01BD44FD-9517-4002-8BA0-E86273F2408F}" name="Prancha D" dataDxfId="41"/>
    <tableColumn id="15" xr3:uid="{A826188B-F3F2-49FA-B29B-D5FC6F1A885E}" name="Prancha E" dataDxfId="40"/>
    <tableColumn id="16" xr3:uid="{39B15039-6196-4D83-A314-9CB2E4FBE8A3}" name="Prancha D + E" dataDxfId="39">
      <calculatedColumnFormula>ABS((O2-N2)/N2)*100%</calculatedColumnFormula>
    </tableColumn>
    <tableColumn id="17" xr3:uid="{C77D73EC-8808-4DCC-A7D7-9A72B7595C44}" name="Ponte D" dataDxfId="38"/>
    <tableColumn id="18" xr3:uid="{990DB62B-6189-4E6D-B3EE-D41A04474614}" name="Ponte E" dataDxfId="37"/>
    <tableColumn id="19" xr3:uid="{0B114CDE-1D34-4F0F-88B7-27E153FA4ECB}" name="Ponte D + E" dataDxfId="36">
      <calculatedColumnFormula>ABS((R2-Q2)/Q2)*100%</calculatedColumnFormula>
    </tableColumn>
    <tableColumn id="20" xr3:uid="{1E3A7913-CB77-42AE-9D14-75241ECCB29B}" name="Agach D" dataDxfId="35"/>
    <tableColumn id="21" xr3:uid="{74494E2A-9A2E-47A9-A9B9-D5C5BC7609B1}" name="Agach E" dataDxfId="34"/>
    <tableColumn id="22" xr3:uid="{561F2302-1F52-4B76-B71D-244A05BF25E9}" name="Hop D" dataDxfId="33"/>
    <tableColumn id="23" xr3:uid="{6BEA596B-CA3B-4489-96F2-929BECCC1E3B}" name="Hop E" dataDxfId="32"/>
    <tableColumn id="24" xr3:uid="{259BAC70-E493-460D-BD3E-2214EA94A807}" name="Hop D + E" dataDxfId="31">
      <calculatedColumnFormula>ABS((W2-V2)/V2)*100%</calculatedColumnFormula>
    </tableColumn>
    <tableColumn id="25" xr3:uid="{A53E0C1D-743E-4C30-884B-9A1912EAA191}" name="Quadri D" dataDxfId="30"/>
    <tableColumn id="26" xr3:uid="{47DA445A-147B-4188-880F-65E956782395}" name="Quadri E" dataDxfId="29"/>
    <tableColumn id="27" xr3:uid="{4D540231-6998-4D98-8E2D-1D142964DD03}" name="Quadri D + E" dataDxfId="28">
      <calculatedColumnFormula>ABS((Z2-Y2)/Y2)*100%</calculatedColumnFormula>
    </tableColumn>
    <tableColumn id="28" xr3:uid="{2F864341-F3C9-4E17-8013-C5C07DBDF18A}" name="Isquios D" dataDxfId="27"/>
    <tableColumn id="29" xr3:uid="{8FA043EE-97FA-45AD-A33F-986A874369E9}" name="Isquios E" dataDxfId="26"/>
    <tableColumn id="30" xr3:uid="{1C7F5601-4469-449F-B25D-F9F3E9794C02}" name="Isquios D + E" dataDxfId="25">
      <calculatedColumnFormula>ABS((AC2-AB2)/AB2)*100%</calculatedColumnFormula>
    </tableColumn>
    <tableColumn id="31" xr3:uid="{51E326C3-C6D5-4EEA-8C04-0B65BD09B658}" name="M. Dominante" dataDxfId="2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9"/>
  <sheetViews>
    <sheetView tabSelected="1" topLeftCell="A16" workbookViewId="0">
      <selection activeCell="F38" sqref="F38"/>
    </sheetView>
  </sheetViews>
  <sheetFormatPr defaultRowHeight="15" x14ac:dyDescent="0.25"/>
  <cols>
    <col min="1" max="1" width="10.7109375" bestFit="1" customWidth="1"/>
    <col min="2" max="2" width="35.28515625" bestFit="1" customWidth="1"/>
    <col min="3" max="5" width="9.140625" customWidth="1"/>
    <col min="6" max="6" width="19" customWidth="1"/>
    <col min="7" max="7" width="26.5703125" bestFit="1" customWidth="1"/>
    <col min="8" max="8" width="11.28515625" customWidth="1"/>
    <col min="9" max="9" width="11.7109375" customWidth="1"/>
    <col min="10" max="10" width="11.42578125" customWidth="1"/>
    <col min="11" max="11" width="9.85546875" customWidth="1"/>
    <col min="12" max="12" width="9.5703125" customWidth="1"/>
    <col min="13" max="13" width="12.7109375" customWidth="1"/>
    <col min="14" max="14" width="11.85546875" customWidth="1"/>
    <col min="15" max="15" width="11.5703125" customWidth="1"/>
    <col min="16" max="16" width="14.7109375" customWidth="1"/>
    <col min="17" max="17" width="10.140625" customWidth="1"/>
    <col min="18" max="18" width="9.85546875" customWidth="1"/>
    <col min="19" max="19" width="13" customWidth="1"/>
    <col min="20" max="20" width="10.140625" customWidth="1"/>
    <col min="21" max="21" width="9.85546875" customWidth="1"/>
    <col min="22" max="23" width="9.140625" customWidth="1"/>
    <col min="24" max="24" width="11.28515625" customWidth="1"/>
    <col min="25" max="25" width="10.85546875" customWidth="1"/>
    <col min="26" max="26" width="10.5703125" customWidth="1"/>
    <col min="27" max="27" width="13.7109375" customWidth="1"/>
    <col min="28" max="30" width="9.140625" customWidth="1"/>
    <col min="31" max="31" width="22.140625" bestFit="1" customWidth="1"/>
  </cols>
  <sheetData>
    <row r="1" spans="1:3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5" t="s">
        <v>63</v>
      </c>
      <c r="G1" s="8" t="s">
        <v>5</v>
      </c>
      <c r="H1" s="15" t="s">
        <v>64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59</v>
      </c>
      <c r="N1" s="8" t="s">
        <v>10</v>
      </c>
      <c r="O1" s="8" t="s">
        <v>11</v>
      </c>
      <c r="P1" s="8" t="s">
        <v>58</v>
      </c>
      <c r="Q1" s="8" t="s">
        <v>12</v>
      </c>
      <c r="R1" s="8" t="s">
        <v>13</v>
      </c>
      <c r="S1" s="8" t="s">
        <v>60</v>
      </c>
      <c r="T1" s="8" t="s">
        <v>14</v>
      </c>
      <c r="U1" s="8" t="s">
        <v>15</v>
      </c>
      <c r="V1" s="8" t="s">
        <v>16</v>
      </c>
      <c r="W1" s="8" t="s">
        <v>17</v>
      </c>
      <c r="X1" s="8" t="s">
        <v>61</v>
      </c>
      <c r="Y1" s="8" t="s">
        <v>18</v>
      </c>
      <c r="Z1" s="8" t="s">
        <v>19</v>
      </c>
      <c r="AA1" s="9" t="s">
        <v>62</v>
      </c>
      <c r="AB1" s="8" t="s">
        <v>180</v>
      </c>
      <c r="AC1" s="8" t="s">
        <v>181</v>
      </c>
      <c r="AD1" s="8" t="s">
        <v>182</v>
      </c>
      <c r="AE1" s="8" t="s">
        <v>183</v>
      </c>
    </row>
    <row r="2" spans="1:31" x14ac:dyDescent="0.25">
      <c r="A2" s="5">
        <v>45917</v>
      </c>
      <c r="B2" s="1" t="s">
        <v>28</v>
      </c>
      <c r="C2" s="1">
        <v>20</v>
      </c>
      <c r="D2" s="1">
        <v>1.65</v>
      </c>
      <c r="E2" s="1">
        <v>55</v>
      </c>
      <c r="F2" s="1" t="s">
        <v>218</v>
      </c>
      <c r="G2" s="1" t="s">
        <v>135</v>
      </c>
      <c r="H2" s="1" t="s">
        <v>29</v>
      </c>
      <c r="I2" s="1" t="s">
        <v>68</v>
      </c>
      <c r="J2" s="1" t="s">
        <v>68</v>
      </c>
      <c r="K2" s="3">
        <v>55</v>
      </c>
      <c r="L2" s="3">
        <v>53</v>
      </c>
      <c r="M2" s="2">
        <f>ABS((L2-K2)/K2)*100%</f>
        <v>3.6363636363636362E-2</v>
      </c>
      <c r="N2" s="3">
        <v>33</v>
      </c>
      <c r="O2" s="3">
        <v>36</v>
      </c>
      <c r="P2" s="2">
        <f>ABS((O2-N2)/N2)*100%</f>
        <v>9.0909090909090912E-2</v>
      </c>
      <c r="Q2" s="3">
        <v>20</v>
      </c>
      <c r="R2" s="3">
        <v>13</v>
      </c>
      <c r="S2" s="2">
        <f>ABS((R2-Q2)/Q2)*100%</f>
        <v>0.35</v>
      </c>
      <c r="T2" s="1" t="s">
        <v>68</v>
      </c>
      <c r="U2" s="1" t="s">
        <v>68</v>
      </c>
      <c r="V2" s="1">
        <v>131</v>
      </c>
      <c r="W2" s="1">
        <v>121</v>
      </c>
      <c r="X2" s="2">
        <f>ABS((W2-V2)/V2)*100%</f>
        <v>7.6335877862595422E-2</v>
      </c>
      <c r="Y2" s="1">
        <v>5.0999999999999996</v>
      </c>
      <c r="Z2" s="1">
        <v>5.2</v>
      </c>
      <c r="AA2" s="6">
        <f>ABS((Z2-Y2)/Y2)*100%</f>
        <v>1.9607843137255009E-2</v>
      </c>
      <c r="AB2" s="23">
        <v>0</v>
      </c>
      <c r="AC2" s="23">
        <v>0</v>
      </c>
      <c r="AD2" s="6">
        <v>0</v>
      </c>
      <c r="AE2" s="24" t="s">
        <v>175</v>
      </c>
    </row>
    <row r="3" spans="1:31" x14ac:dyDescent="0.25">
      <c r="A3" s="5">
        <v>45917</v>
      </c>
      <c r="B3" s="18" t="s">
        <v>65</v>
      </c>
      <c r="C3" s="1">
        <v>20</v>
      </c>
      <c r="D3" s="1">
        <v>1.62</v>
      </c>
      <c r="E3" s="1">
        <v>0</v>
      </c>
      <c r="F3" s="1" t="s">
        <v>218</v>
      </c>
      <c r="G3" s="1" t="s">
        <v>131</v>
      </c>
      <c r="H3" s="1" t="s">
        <v>26</v>
      </c>
      <c r="I3" s="1" t="s">
        <v>80</v>
      </c>
      <c r="J3" s="1" t="s">
        <v>80</v>
      </c>
      <c r="K3" s="3">
        <v>26</v>
      </c>
      <c r="L3" s="3">
        <v>26</v>
      </c>
      <c r="M3" s="2">
        <f>ABS((L3-K3)/K3)*100%</f>
        <v>0</v>
      </c>
      <c r="N3" s="3">
        <v>60</v>
      </c>
      <c r="O3" s="3">
        <v>29</v>
      </c>
      <c r="P3" s="2">
        <f>ABS((O3-N3)/N3)*100%</f>
        <v>0.51666666666666672</v>
      </c>
      <c r="Q3" s="3">
        <v>15</v>
      </c>
      <c r="R3" s="3">
        <v>12</v>
      </c>
      <c r="S3" s="2">
        <f>ABS((R3-Q3)/Q3)*100%</f>
        <v>0.2</v>
      </c>
      <c r="T3" s="1" t="s">
        <v>68</v>
      </c>
      <c r="U3" s="1" t="s">
        <v>22</v>
      </c>
      <c r="V3" s="1">
        <v>154</v>
      </c>
      <c r="W3" s="1">
        <v>134</v>
      </c>
      <c r="X3" s="2">
        <f>ABS((W3-V3)/V3)*100%</f>
        <v>0.12987012987012986</v>
      </c>
      <c r="Y3" s="1">
        <v>5.4</v>
      </c>
      <c r="Z3" s="1">
        <v>4.7</v>
      </c>
      <c r="AA3" s="6">
        <f>ABS((Z3-Y3)/Y3)*100%</f>
        <v>0.12962962962962965</v>
      </c>
      <c r="AB3" s="23">
        <v>0</v>
      </c>
      <c r="AC3" s="23">
        <v>0</v>
      </c>
      <c r="AD3" s="6">
        <v>0</v>
      </c>
      <c r="AE3" s="18" t="s">
        <v>175</v>
      </c>
    </row>
    <row r="4" spans="1:31" x14ac:dyDescent="0.25">
      <c r="A4" s="5">
        <v>45917</v>
      </c>
      <c r="B4" s="1" t="s">
        <v>146</v>
      </c>
      <c r="C4" s="1">
        <v>19</v>
      </c>
      <c r="D4" s="1">
        <v>1.73</v>
      </c>
      <c r="E4" s="1">
        <v>63</v>
      </c>
      <c r="F4" s="1" t="s">
        <v>218</v>
      </c>
      <c r="G4" s="1" t="s">
        <v>213</v>
      </c>
      <c r="H4" s="1" t="s">
        <v>49</v>
      </c>
      <c r="I4" s="1" t="s">
        <v>68</v>
      </c>
      <c r="J4" s="1" t="s">
        <v>68</v>
      </c>
      <c r="K4" s="3">
        <v>44</v>
      </c>
      <c r="L4" s="3">
        <v>37</v>
      </c>
      <c r="M4" s="2">
        <f>ABS((L4-K4)/K4)*100%</f>
        <v>0.15909090909090909</v>
      </c>
      <c r="N4" s="3">
        <v>60</v>
      </c>
      <c r="O4" s="3">
        <v>60</v>
      </c>
      <c r="P4" s="2">
        <f>ABS((O4-N4)/N4)*100%</f>
        <v>0</v>
      </c>
      <c r="Q4" s="3">
        <v>20</v>
      </c>
      <c r="R4" s="3">
        <v>20</v>
      </c>
      <c r="S4" s="2">
        <f>ABS((R4-Q4)/Q4)*100%</f>
        <v>0</v>
      </c>
      <c r="T4" s="1" t="s">
        <v>68</v>
      </c>
      <c r="U4" s="1" t="s">
        <v>68</v>
      </c>
      <c r="V4" s="1">
        <v>174</v>
      </c>
      <c r="W4" s="1">
        <v>161</v>
      </c>
      <c r="X4" s="2">
        <f>ABS((W4-V4)/V4)*100%</f>
        <v>7.4712643678160925E-2</v>
      </c>
      <c r="Y4" s="1">
        <v>10</v>
      </c>
      <c r="Z4" s="1">
        <v>9.1999999999999993</v>
      </c>
      <c r="AA4" s="6">
        <f>ABS((Z4-Y4)/Y4)*100%</f>
        <v>8.0000000000000071E-2</v>
      </c>
      <c r="AB4" s="23">
        <v>0</v>
      </c>
      <c r="AC4" s="23">
        <v>0</v>
      </c>
      <c r="AD4" s="6">
        <v>0</v>
      </c>
      <c r="AE4" s="1" t="s">
        <v>175</v>
      </c>
    </row>
    <row r="5" spans="1:31" x14ac:dyDescent="0.25">
      <c r="A5" s="5">
        <v>45917</v>
      </c>
      <c r="B5" s="18" t="s">
        <v>73</v>
      </c>
      <c r="C5" s="1">
        <v>18</v>
      </c>
      <c r="D5" s="1">
        <v>1.59</v>
      </c>
      <c r="E5" s="1">
        <v>50</v>
      </c>
      <c r="F5" s="1" t="s">
        <v>218</v>
      </c>
      <c r="G5" s="1" t="s">
        <v>149</v>
      </c>
      <c r="H5" s="1" t="s">
        <v>26</v>
      </c>
      <c r="I5" s="1" t="s">
        <v>93</v>
      </c>
      <c r="J5" s="1" t="s">
        <v>93</v>
      </c>
      <c r="K5" s="3">
        <v>40</v>
      </c>
      <c r="L5" s="3">
        <v>40</v>
      </c>
      <c r="M5" s="2">
        <f>ABS((L5-K5)/K5)*100%</f>
        <v>0</v>
      </c>
      <c r="N5" s="3">
        <v>100</v>
      </c>
      <c r="O5" s="3">
        <v>73</v>
      </c>
      <c r="P5" s="2">
        <f>ABS((O5-N5)/N5)*100%</f>
        <v>0.27</v>
      </c>
      <c r="Q5" s="3">
        <v>25</v>
      </c>
      <c r="R5" s="3">
        <v>22</v>
      </c>
      <c r="S5" s="2">
        <f>ABS((R5-Q5)/Q5)*100%</f>
        <v>0.12</v>
      </c>
      <c r="T5" s="1" t="s">
        <v>22</v>
      </c>
      <c r="U5" s="1" t="s">
        <v>22</v>
      </c>
      <c r="V5" s="1">
        <v>168</v>
      </c>
      <c r="W5" s="1">
        <v>149</v>
      </c>
      <c r="X5" s="2">
        <f>ABS((W5-V5)/V5)*100%</f>
        <v>0.1130952380952381</v>
      </c>
      <c r="Y5" s="1">
        <v>6.3</v>
      </c>
      <c r="Z5" s="1">
        <v>5.6</v>
      </c>
      <c r="AA5" s="6">
        <f>ABS((Z5-Y5)/Y5)*100%</f>
        <v>0.11111111111111115</v>
      </c>
      <c r="AB5" s="23">
        <v>0</v>
      </c>
      <c r="AC5" s="23">
        <v>0</v>
      </c>
      <c r="AD5" s="6">
        <v>0</v>
      </c>
      <c r="AE5" s="18" t="s">
        <v>175</v>
      </c>
    </row>
    <row r="6" spans="1:31" x14ac:dyDescent="0.25">
      <c r="A6" s="5">
        <v>45917</v>
      </c>
      <c r="B6" s="21" t="s">
        <v>77</v>
      </c>
      <c r="C6" s="1">
        <v>18</v>
      </c>
      <c r="D6" s="1">
        <v>1.62</v>
      </c>
      <c r="E6" s="1">
        <v>0</v>
      </c>
      <c r="F6" s="1" t="s">
        <v>218</v>
      </c>
      <c r="G6" s="1" t="s">
        <v>74</v>
      </c>
      <c r="H6" s="1" t="s">
        <v>79</v>
      </c>
      <c r="I6" s="1" t="s">
        <v>68</v>
      </c>
      <c r="J6" s="1" t="s">
        <v>68</v>
      </c>
      <c r="K6" s="3">
        <v>54</v>
      </c>
      <c r="L6" s="3">
        <v>48</v>
      </c>
      <c r="M6" s="2">
        <f>ABS((L6-K6)/K6)*100%</f>
        <v>0.1111111111111111</v>
      </c>
      <c r="N6" s="3">
        <v>60</v>
      </c>
      <c r="O6" s="3">
        <v>58</v>
      </c>
      <c r="P6" s="2">
        <f>ABS((O6-N6)/N6)*100%</f>
        <v>3.3333333333333333E-2</v>
      </c>
      <c r="Q6" s="3">
        <v>27</v>
      </c>
      <c r="R6" s="3">
        <v>25</v>
      </c>
      <c r="S6" s="2">
        <f>ABS((R6-Q6)/Q6)*100%</f>
        <v>7.407407407407407E-2</v>
      </c>
      <c r="T6" s="1" t="s">
        <v>22</v>
      </c>
      <c r="U6" s="1" t="s">
        <v>22</v>
      </c>
      <c r="V6" s="1">
        <v>117</v>
      </c>
      <c r="W6" s="1">
        <v>123</v>
      </c>
      <c r="X6" s="2">
        <f>ABS((W6-V6)/V6)*100%</f>
        <v>5.128205128205128E-2</v>
      </c>
      <c r="Y6" s="1">
        <v>10.15</v>
      </c>
      <c r="Z6" s="1">
        <v>9.15</v>
      </c>
      <c r="AA6" s="6">
        <f>ABS((Z6-Y6)/Y6)*100%</f>
        <v>9.852216748768472E-2</v>
      </c>
      <c r="AB6" s="23">
        <v>0</v>
      </c>
      <c r="AC6" s="23">
        <v>0</v>
      </c>
      <c r="AD6" s="6">
        <v>0</v>
      </c>
      <c r="AE6" s="18" t="s">
        <v>175</v>
      </c>
    </row>
    <row r="7" spans="1:31" x14ac:dyDescent="0.25">
      <c r="A7" s="5">
        <v>45917</v>
      </c>
      <c r="B7" s="1" t="s">
        <v>45</v>
      </c>
      <c r="C7" s="1">
        <v>19</v>
      </c>
      <c r="D7" s="1">
        <v>1.55</v>
      </c>
      <c r="E7" s="1">
        <v>0</v>
      </c>
      <c r="F7" s="1" t="s">
        <v>218</v>
      </c>
      <c r="G7" s="1" t="s">
        <v>214</v>
      </c>
      <c r="H7" s="1" t="s">
        <v>46</v>
      </c>
      <c r="I7" s="1" t="s">
        <v>80</v>
      </c>
      <c r="J7" s="1" t="s">
        <v>80</v>
      </c>
      <c r="K7" s="3">
        <v>38</v>
      </c>
      <c r="L7" s="3">
        <v>39</v>
      </c>
      <c r="M7" s="2">
        <f>ABS((L7-K7)/K7)*100%</f>
        <v>2.6315789473684209E-2</v>
      </c>
      <c r="N7" s="3">
        <v>60</v>
      </c>
      <c r="O7" s="3">
        <v>36</v>
      </c>
      <c r="P7" s="2">
        <f>ABS((O7-N7)/N7)*100%</f>
        <v>0.4</v>
      </c>
      <c r="Q7" s="3">
        <v>12</v>
      </c>
      <c r="R7" s="3">
        <v>14</v>
      </c>
      <c r="S7" s="2">
        <f>ABS((R7-Q7)/Q7)*100%</f>
        <v>0.16666666666666666</v>
      </c>
      <c r="T7" s="1" t="s">
        <v>22</v>
      </c>
      <c r="U7" s="1" t="s">
        <v>22</v>
      </c>
      <c r="V7" s="1">
        <v>161</v>
      </c>
      <c r="W7" s="1">
        <v>148</v>
      </c>
      <c r="X7" s="2">
        <f>ABS((W7-V7)/V7)*100%</f>
        <v>8.0745341614906832E-2</v>
      </c>
      <c r="Y7" s="1">
        <v>5.3</v>
      </c>
      <c r="Z7" s="1">
        <v>4.5</v>
      </c>
      <c r="AA7" s="6">
        <f>ABS((Z7-Y7)/Y7)*100%</f>
        <v>0.15094339622641506</v>
      </c>
      <c r="AB7" s="23">
        <v>0</v>
      </c>
      <c r="AC7" s="23">
        <v>0</v>
      </c>
      <c r="AD7" s="6">
        <v>0</v>
      </c>
      <c r="AE7" s="1" t="s">
        <v>175</v>
      </c>
    </row>
    <row r="8" spans="1:31" x14ac:dyDescent="0.25">
      <c r="A8" s="5">
        <v>45917</v>
      </c>
      <c r="B8" s="20" t="s">
        <v>89</v>
      </c>
      <c r="C8" s="1">
        <v>23</v>
      </c>
      <c r="D8" s="1">
        <v>1.58</v>
      </c>
      <c r="E8" s="1">
        <v>62</v>
      </c>
      <c r="F8" s="1" t="s">
        <v>218</v>
      </c>
      <c r="G8" s="1" t="s">
        <v>90</v>
      </c>
      <c r="H8" s="1" t="s">
        <v>39</v>
      </c>
      <c r="I8" s="1" t="s">
        <v>68</v>
      </c>
      <c r="J8" s="1" t="s">
        <v>68</v>
      </c>
      <c r="K8" s="3">
        <v>51</v>
      </c>
      <c r="L8" s="3">
        <v>58</v>
      </c>
      <c r="M8" s="2">
        <f>ABS((L8-K8)/K8)*100%</f>
        <v>0.13725490196078433</v>
      </c>
      <c r="N8" s="3">
        <v>60</v>
      </c>
      <c r="O8" s="3">
        <v>60</v>
      </c>
      <c r="P8" s="2">
        <f>ABS((O8-N8)/N8)*100%</f>
        <v>0</v>
      </c>
      <c r="Q8" s="3">
        <v>25</v>
      </c>
      <c r="R8" s="3">
        <v>20</v>
      </c>
      <c r="S8" s="2">
        <f>ABS((R8-Q8)/Q8)*100%</f>
        <v>0.2</v>
      </c>
      <c r="T8" s="1" t="s">
        <v>68</v>
      </c>
      <c r="U8" s="1" t="s">
        <v>22</v>
      </c>
      <c r="V8" s="1">
        <v>134</v>
      </c>
      <c r="W8" s="1">
        <v>143</v>
      </c>
      <c r="X8" s="2">
        <f>ABS((W8-V8)/V8)*100%</f>
        <v>6.7164179104477612E-2</v>
      </c>
      <c r="Y8" s="1">
        <v>2.8</v>
      </c>
      <c r="Z8" s="1">
        <v>2.1</v>
      </c>
      <c r="AA8" s="6">
        <f>ABS((Z8-Y8)/Y8)*100%</f>
        <v>0.24999999999999992</v>
      </c>
      <c r="AB8" s="23">
        <v>0</v>
      </c>
      <c r="AC8" s="23">
        <v>0</v>
      </c>
      <c r="AD8" s="6">
        <v>0</v>
      </c>
      <c r="AE8" s="1" t="s">
        <v>176</v>
      </c>
    </row>
    <row r="9" spans="1:31" x14ac:dyDescent="0.25">
      <c r="A9" s="5">
        <v>45917</v>
      </c>
      <c r="B9" s="18" t="s">
        <v>95</v>
      </c>
      <c r="C9" s="1">
        <v>19</v>
      </c>
      <c r="D9" s="1">
        <v>1.55</v>
      </c>
      <c r="E9" s="1">
        <v>60</v>
      </c>
      <c r="F9" s="1" t="s">
        <v>218</v>
      </c>
      <c r="G9" s="1" t="s">
        <v>209</v>
      </c>
      <c r="H9" s="1" t="s">
        <v>30</v>
      </c>
      <c r="I9" s="1" t="s">
        <v>68</v>
      </c>
      <c r="J9" s="1" t="s">
        <v>80</v>
      </c>
      <c r="K9" s="3">
        <v>34</v>
      </c>
      <c r="L9" s="3">
        <v>36</v>
      </c>
      <c r="M9" s="2">
        <f>ABS((L9-K9)/K9)*100%</f>
        <v>5.8823529411764705E-2</v>
      </c>
      <c r="N9" s="3">
        <v>53</v>
      </c>
      <c r="O9" s="3">
        <v>47</v>
      </c>
      <c r="P9" s="2">
        <f>ABS((O9-N9)/N9)*100%</f>
        <v>0.11320754716981132</v>
      </c>
      <c r="Q9" s="3">
        <v>15</v>
      </c>
      <c r="R9" s="3">
        <v>15</v>
      </c>
      <c r="S9" s="2">
        <f>ABS((R9-Q9)/Q9)*100%</f>
        <v>0</v>
      </c>
      <c r="T9" s="1" t="s">
        <v>68</v>
      </c>
      <c r="U9" s="1" t="s">
        <v>22</v>
      </c>
      <c r="V9" s="1">
        <v>153</v>
      </c>
      <c r="W9" s="1">
        <v>125</v>
      </c>
      <c r="X9" s="2">
        <f>ABS((W9-V9)/V9)*100%</f>
        <v>0.18300653594771241</v>
      </c>
      <c r="Y9" s="1">
        <v>5.35</v>
      </c>
      <c r="Z9" s="1">
        <v>4.5999999999999996</v>
      </c>
      <c r="AA9" s="6">
        <f>ABS((Z9-Y9)/Y9)*100%</f>
        <v>0.14018691588785048</v>
      </c>
      <c r="AB9" s="23">
        <v>0</v>
      </c>
      <c r="AC9" s="23">
        <v>0</v>
      </c>
      <c r="AD9" s="6">
        <v>0</v>
      </c>
      <c r="AE9" s="18" t="s">
        <v>175</v>
      </c>
    </row>
    <row r="10" spans="1:31" x14ac:dyDescent="0.25">
      <c r="A10" s="5">
        <v>45917</v>
      </c>
      <c r="B10" s="18" t="s">
        <v>97</v>
      </c>
      <c r="C10" s="1">
        <v>18</v>
      </c>
      <c r="D10" s="1">
        <v>1.58</v>
      </c>
      <c r="E10" s="1">
        <v>51</v>
      </c>
      <c r="F10" s="1" t="s">
        <v>218</v>
      </c>
      <c r="G10" s="1" t="s">
        <v>210</v>
      </c>
      <c r="H10" s="4" t="s">
        <v>40</v>
      </c>
      <c r="I10" s="1" t="s">
        <v>68</v>
      </c>
      <c r="J10" s="1" t="s">
        <v>68</v>
      </c>
      <c r="K10" s="3">
        <v>45</v>
      </c>
      <c r="L10" s="3">
        <v>27</v>
      </c>
      <c r="M10" s="2">
        <f>ABS((L10-K10)/K10)*100%</f>
        <v>0.4</v>
      </c>
      <c r="N10" s="3">
        <v>60</v>
      </c>
      <c r="O10" s="3">
        <v>57</v>
      </c>
      <c r="P10" s="2">
        <f>ABS((O10-N10)/N10)*100%</f>
        <v>0.05</v>
      </c>
      <c r="Q10" s="3">
        <v>24</v>
      </c>
      <c r="R10" s="3">
        <v>20</v>
      </c>
      <c r="S10" s="2">
        <f>ABS((R10-Q10)/Q10)*100%</f>
        <v>0.16666666666666666</v>
      </c>
      <c r="T10" s="1" t="s">
        <v>68</v>
      </c>
      <c r="U10" s="1" t="s">
        <v>68</v>
      </c>
      <c r="V10" s="1">
        <v>155</v>
      </c>
      <c r="W10" s="1">
        <v>159</v>
      </c>
      <c r="X10" s="2">
        <f>ABS((W10-V10)/V10)*100%</f>
        <v>2.5806451612903226E-2</v>
      </c>
      <c r="Y10" s="1">
        <v>6.2</v>
      </c>
      <c r="Z10" s="1">
        <v>6.8</v>
      </c>
      <c r="AA10" s="6">
        <f>ABS((Z10-Y10)/Y10)*100%</f>
        <v>9.6774193548387039E-2</v>
      </c>
      <c r="AB10" s="23">
        <v>0</v>
      </c>
      <c r="AC10" s="23">
        <v>0</v>
      </c>
      <c r="AD10" s="6">
        <v>0</v>
      </c>
      <c r="AE10" s="18" t="s">
        <v>175</v>
      </c>
    </row>
    <row r="11" spans="1:31" x14ac:dyDescent="0.25">
      <c r="A11" s="5">
        <v>45917</v>
      </c>
      <c r="B11" s="1" t="s">
        <v>155</v>
      </c>
      <c r="C11" s="1">
        <v>19</v>
      </c>
      <c r="D11" s="1">
        <v>1.63</v>
      </c>
      <c r="E11" s="1">
        <v>61</v>
      </c>
      <c r="F11" s="1" t="s">
        <v>218</v>
      </c>
      <c r="G11" s="1" t="s">
        <v>104</v>
      </c>
      <c r="H11" s="1" t="s">
        <v>38</v>
      </c>
      <c r="I11" s="1" t="s">
        <v>80</v>
      </c>
      <c r="J11" s="1" t="s">
        <v>93</v>
      </c>
      <c r="K11" s="3">
        <v>50</v>
      </c>
      <c r="L11" s="3">
        <v>42</v>
      </c>
      <c r="M11" s="2">
        <f>ABS((L11-K11)/K11)*100%</f>
        <v>0.16</v>
      </c>
      <c r="N11" s="3">
        <v>81</v>
      </c>
      <c r="O11" s="3">
        <v>79</v>
      </c>
      <c r="P11" s="2">
        <f>ABS((O11-N11)/N11)*100%</f>
        <v>2.4691358024691357E-2</v>
      </c>
      <c r="Q11" s="3">
        <v>15</v>
      </c>
      <c r="R11" s="3">
        <v>15</v>
      </c>
      <c r="S11" s="2">
        <f>ABS((R11-Q11)/Q11)*100%</f>
        <v>0</v>
      </c>
      <c r="T11" s="1" t="s">
        <v>22</v>
      </c>
      <c r="U11" s="1" t="s">
        <v>22</v>
      </c>
      <c r="V11" s="1">
        <v>147</v>
      </c>
      <c r="W11" s="1">
        <v>155</v>
      </c>
      <c r="X11" s="2">
        <f>ABS((W11-V11)/V11)*100%</f>
        <v>5.4421768707482991E-2</v>
      </c>
      <c r="Y11" s="1">
        <v>6.2</v>
      </c>
      <c r="Z11" s="1">
        <v>5.25</v>
      </c>
      <c r="AA11" s="6">
        <f>ABS((Z11-Y11)/Y11)*100%</f>
        <v>0.15322580645161293</v>
      </c>
      <c r="AB11" s="23">
        <v>0</v>
      </c>
      <c r="AC11" s="23">
        <v>0</v>
      </c>
      <c r="AD11" s="6">
        <v>0</v>
      </c>
      <c r="AE11" s="1" t="s">
        <v>177</v>
      </c>
    </row>
    <row r="12" spans="1:31" x14ac:dyDescent="0.25">
      <c r="A12" s="5">
        <v>45917</v>
      </c>
      <c r="B12" s="1" t="s">
        <v>54</v>
      </c>
      <c r="C12" s="1">
        <v>14</v>
      </c>
      <c r="D12" s="1">
        <v>0</v>
      </c>
      <c r="E12" s="1">
        <v>0</v>
      </c>
      <c r="F12" s="1" t="s">
        <v>218</v>
      </c>
      <c r="G12" s="1" t="s">
        <v>78</v>
      </c>
      <c r="H12" s="1" t="s">
        <v>55</v>
      </c>
      <c r="I12" s="1" t="s">
        <v>93</v>
      </c>
      <c r="J12" s="1" t="s">
        <v>80</v>
      </c>
      <c r="K12" s="3">
        <v>42</v>
      </c>
      <c r="L12" s="3">
        <v>38</v>
      </c>
      <c r="M12" s="2">
        <f>ABS((L12-K12)/K12)*100%</f>
        <v>9.5238095238095233E-2</v>
      </c>
      <c r="N12" s="3">
        <v>42</v>
      </c>
      <c r="O12" s="3">
        <v>24</v>
      </c>
      <c r="P12" s="2">
        <f>ABS((O12-N12)/N12)*100%</f>
        <v>0.42857142857142855</v>
      </c>
      <c r="Q12" s="3">
        <v>46</v>
      </c>
      <c r="R12" s="3">
        <v>32</v>
      </c>
      <c r="S12" s="2">
        <f>ABS((R12-Q12)/Q12)*100%</f>
        <v>0.30434782608695654</v>
      </c>
      <c r="T12" s="1" t="s">
        <v>56</v>
      </c>
      <c r="U12" s="1" t="s">
        <v>22</v>
      </c>
      <c r="V12" s="1">
        <v>145</v>
      </c>
      <c r="W12" s="1">
        <v>132</v>
      </c>
      <c r="X12" s="2">
        <f>ABS((W12-V12)/V12)*100%</f>
        <v>8.9655172413793102E-2</v>
      </c>
      <c r="Y12" s="1">
        <v>5.2</v>
      </c>
      <c r="Z12" s="1">
        <v>5.4</v>
      </c>
      <c r="AA12" s="6">
        <f>ABS((Z12-Y12)/Y12)*100%</f>
        <v>3.8461538461538491E-2</v>
      </c>
      <c r="AB12" s="23">
        <v>0</v>
      </c>
      <c r="AC12" s="23">
        <v>0</v>
      </c>
      <c r="AD12" s="6">
        <v>0</v>
      </c>
      <c r="AE12" s="1" t="s">
        <v>175</v>
      </c>
    </row>
    <row r="13" spans="1:31" x14ac:dyDescent="0.25">
      <c r="A13" s="5">
        <v>45917</v>
      </c>
      <c r="B13" s="18" t="s">
        <v>103</v>
      </c>
      <c r="C13" s="1">
        <v>20</v>
      </c>
      <c r="D13" s="1">
        <v>1.54</v>
      </c>
      <c r="E13" s="1">
        <v>0</v>
      </c>
      <c r="F13" s="1" t="s">
        <v>218</v>
      </c>
      <c r="G13" s="1" t="s">
        <v>104</v>
      </c>
      <c r="H13" s="1" t="s">
        <v>79</v>
      </c>
      <c r="I13" s="1" t="s">
        <v>80</v>
      </c>
      <c r="J13" s="1" t="s">
        <v>68</v>
      </c>
      <c r="K13" s="3">
        <v>35</v>
      </c>
      <c r="L13" s="3">
        <v>36</v>
      </c>
      <c r="M13" s="2">
        <f>ABS((L13-K13)/K13)*100%</f>
        <v>2.8571428571428571E-2</v>
      </c>
      <c r="N13" s="3">
        <v>44</v>
      </c>
      <c r="O13" s="3">
        <v>47</v>
      </c>
      <c r="P13" s="2">
        <f>ABS((O13-N13)/N13)*100%</f>
        <v>6.8181818181818177E-2</v>
      </c>
      <c r="Q13" s="3">
        <v>20</v>
      </c>
      <c r="R13" s="3">
        <v>15</v>
      </c>
      <c r="S13" s="2">
        <f>ABS((R13-Q13)/Q13)*100%</f>
        <v>0.25</v>
      </c>
      <c r="T13" s="1" t="s">
        <v>31</v>
      </c>
      <c r="U13" s="1" t="s">
        <v>31</v>
      </c>
      <c r="V13" s="1">
        <v>142</v>
      </c>
      <c r="W13" s="1">
        <v>150</v>
      </c>
      <c r="X13" s="2">
        <f>ABS((W13-V13)/V13)*100%</f>
        <v>5.6338028169014086E-2</v>
      </c>
      <c r="Y13" s="1">
        <v>5.25</v>
      </c>
      <c r="Z13" s="1">
        <v>4.5999999999999996</v>
      </c>
      <c r="AA13" s="6">
        <f>ABS((Z13-Y13)/Y13)*100%</f>
        <v>0.12380952380952388</v>
      </c>
      <c r="AB13" s="23">
        <v>0</v>
      </c>
      <c r="AC13" s="23">
        <v>0</v>
      </c>
      <c r="AD13" s="6">
        <v>0</v>
      </c>
      <c r="AE13" s="18" t="s">
        <v>176</v>
      </c>
    </row>
    <row r="14" spans="1:31" x14ac:dyDescent="0.25">
      <c r="A14" s="5">
        <v>45917</v>
      </c>
      <c r="B14" s="18" t="s">
        <v>107</v>
      </c>
      <c r="C14" s="1">
        <v>21</v>
      </c>
      <c r="D14" s="1">
        <v>1.81</v>
      </c>
      <c r="E14" s="1">
        <v>81</v>
      </c>
      <c r="F14" s="1" t="s">
        <v>218</v>
      </c>
      <c r="G14" s="1" t="s">
        <v>67</v>
      </c>
      <c r="H14" s="1" t="s">
        <v>20</v>
      </c>
      <c r="I14" s="1" t="s">
        <v>80</v>
      </c>
      <c r="J14" s="1" t="s">
        <v>80</v>
      </c>
      <c r="K14" s="3">
        <v>39</v>
      </c>
      <c r="L14" s="3">
        <v>36</v>
      </c>
      <c r="M14" s="2">
        <f>ABS((L14-K14)/K14)*100%</f>
        <v>7.6923076923076927E-2</v>
      </c>
      <c r="N14" s="3">
        <v>47</v>
      </c>
      <c r="O14" s="3">
        <v>56</v>
      </c>
      <c r="P14" s="2">
        <f>ABS((O14-N14)/N14)*100%</f>
        <v>0.19148936170212766</v>
      </c>
      <c r="Q14" s="3">
        <v>11</v>
      </c>
      <c r="R14" s="3">
        <v>8</v>
      </c>
      <c r="S14" s="2">
        <f>ABS((R14-Q14)/Q14)*100%</f>
        <v>0.27272727272727271</v>
      </c>
      <c r="T14" s="1" t="s">
        <v>22</v>
      </c>
      <c r="U14" s="1" t="s">
        <v>23</v>
      </c>
      <c r="V14" s="1">
        <v>107</v>
      </c>
      <c r="W14" s="1">
        <v>123</v>
      </c>
      <c r="X14" s="2">
        <f>ABS((W14-V14)/V14)*100%</f>
        <v>0.14953271028037382</v>
      </c>
      <c r="Y14" s="1">
        <v>7.15</v>
      </c>
      <c r="Z14" s="1">
        <v>7.1</v>
      </c>
      <c r="AA14" s="6">
        <f>ABS((Z14-Y14)/Y14)*100%</f>
        <v>6.9930069930070919E-3</v>
      </c>
      <c r="AB14" s="23">
        <v>0</v>
      </c>
      <c r="AC14" s="23">
        <v>0</v>
      </c>
      <c r="AD14" s="6">
        <v>0</v>
      </c>
      <c r="AE14" s="1" t="s">
        <v>175</v>
      </c>
    </row>
    <row r="15" spans="1:31" x14ac:dyDescent="0.25">
      <c r="A15" s="5">
        <v>45917</v>
      </c>
      <c r="B15" s="18" t="s">
        <v>109</v>
      </c>
      <c r="C15" s="1">
        <v>21</v>
      </c>
      <c r="D15" s="1">
        <v>1.71</v>
      </c>
      <c r="E15" s="1">
        <v>50</v>
      </c>
      <c r="F15" s="1" t="s">
        <v>218</v>
      </c>
      <c r="G15" s="1" t="s">
        <v>90</v>
      </c>
      <c r="H15" s="1" t="s">
        <v>47</v>
      </c>
      <c r="I15" s="1" t="s">
        <v>80</v>
      </c>
      <c r="J15" s="1" t="s">
        <v>154</v>
      </c>
      <c r="K15" s="3">
        <v>46</v>
      </c>
      <c r="L15" s="3">
        <v>38</v>
      </c>
      <c r="M15" s="2">
        <f>ABS((L15-K15)/K15)*100%</f>
        <v>0.17391304347826086</v>
      </c>
      <c r="N15" s="3">
        <v>60</v>
      </c>
      <c r="O15" s="3">
        <v>60</v>
      </c>
      <c r="P15" s="2">
        <f>ABS((O15-N15)/N15)*100%</f>
        <v>0</v>
      </c>
      <c r="Q15" s="3">
        <v>15</v>
      </c>
      <c r="R15" s="3">
        <v>16</v>
      </c>
      <c r="S15" s="2">
        <f>ABS((R15-Q15)/Q15)*100%</f>
        <v>6.6666666666666666E-2</v>
      </c>
      <c r="T15" s="1" t="s">
        <v>22</v>
      </c>
      <c r="U15" s="1" t="s">
        <v>48</v>
      </c>
      <c r="V15" s="1">
        <v>135</v>
      </c>
      <c r="W15" s="1">
        <v>144</v>
      </c>
      <c r="X15" s="2">
        <f>ABS((W15-V15)/V15)*100%</f>
        <v>6.6666666666666666E-2</v>
      </c>
      <c r="Y15" s="1">
        <v>6.35</v>
      </c>
      <c r="Z15" s="1">
        <v>5.77</v>
      </c>
      <c r="AA15" s="6">
        <f>ABS((Z15-Y15)/Y15)*100%</f>
        <v>9.1338582677165367E-2</v>
      </c>
      <c r="AB15" s="23">
        <v>0</v>
      </c>
      <c r="AC15" s="23">
        <v>0</v>
      </c>
      <c r="AD15" s="6">
        <v>0</v>
      </c>
      <c r="AE15" s="18" t="s">
        <v>175</v>
      </c>
    </row>
    <row r="16" spans="1:31" x14ac:dyDescent="0.25">
      <c r="A16" s="5">
        <v>45917</v>
      </c>
      <c r="B16" s="1" t="s">
        <v>27</v>
      </c>
      <c r="C16" s="1">
        <v>19</v>
      </c>
      <c r="D16" s="1">
        <v>1.72</v>
      </c>
      <c r="E16" s="1">
        <v>53</v>
      </c>
      <c r="F16" s="1" t="s">
        <v>218</v>
      </c>
      <c r="G16" s="1" t="s">
        <v>211</v>
      </c>
      <c r="H16" s="1" t="s">
        <v>25</v>
      </c>
      <c r="I16" s="1" t="s">
        <v>148</v>
      </c>
      <c r="J16" s="1" t="s">
        <v>68</v>
      </c>
      <c r="K16" s="3">
        <v>35</v>
      </c>
      <c r="L16" s="3">
        <v>34</v>
      </c>
      <c r="M16" s="2">
        <f>ABS((L16-K16)/K16)*100%</f>
        <v>2.8571428571428571E-2</v>
      </c>
      <c r="N16" s="3">
        <v>60</v>
      </c>
      <c r="O16" s="3">
        <v>60</v>
      </c>
      <c r="P16" s="2">
        <f>ABS((O16-N16)/N16)*100%</f>
        <v>0</v>
      </c>
      <c r="Q16" s="3">
        <v>21</v>
      </c>
      <c r="R16" s="3">
        <v>23</v>
      </c>
      <c r="S16" s="2">
        <f>ABS((R16-Q16)/Q16)*100%</f>
        <v>9.5238095238095233E-2</v>
      </c>
      <c r="T16" s="1" t="s">
        <v>68</v>
      </c>
      <c r="U16" s="1" t="s">
        <v>23</v>
      </c>
      <c r="V16" s="1">
        <v>154</v>
      </c>
      <c r="W16" s="1">
        <v>186</v>
      </c>
      <c r="X16" s="2">
        <f>ABS((W16-V16)/V16)*100%</f>
        <v>0.20779220779220781</v>
      </c>
      <c r="Y16" s="1">
        <v>4.5</v>
      </c>
      <c r="Z16" s="1">
        <v>5.5</v>
      </c>
      <c r="AA16" s="6">
        <f>ABS((Z16-Y16)/Y16)*100%</f>
        <v>0.22222222222222221</v>
      </c>
      <c r="AB16" s="23">
        <v>0</v>
      </c>
      <c r="AC16" s="23">
        <v>0</v>
      </c>
      <c r="AD16" s="6">
        <v>0</v>
      </c>
      <c r="AE16" s="1" t="s">
        <v>176</v>
      </c>
    </row>
    <row r="17" spans="1:31" x14ac:dyDescent="0.25">
      <c r="A17" s="5">
        <v>45917</v>
      </c>
      <c r="B17" s="1" t="s">
        <v>52</v>
      </c>
      <c r="C17" s="1">
        <v>14</v>
      </c>
      <c r="D17" s="1">
        <v>1.57</v>
      </c>
      <c r="E17" s="1">
        <v>0</v>
      </c>
      <c r="F17" s="1" t="s">
        <v>218</v>
      </c>
      <c r="G17" s="1" t="s">
        <v>104</v>
      </c>
      <c r="H17" s="1" t="s">
        <v>79</v>
      </c>
      <c r="I17" s="1" t="s">
        <v>80</v>
      </c>
      <c r="J17" s="1" t="s">
        <v>80</v>
      </c>
      <c r="K17" s="3">
        <v>33</v>
      </c>
      <c r="L17" s="3">
        <v>39</v>
      </c>
      <c r="M17" s="2">
        <f>ABS((L17-K17)/K17)*100%</f>
        <v>0.18181818181818182</v>
      </c>
      <c r="N17" s="3">
        <v>33</v>
      </c>
      <c r="O17" s="3">
        <v>29</v>
      </c>
      <c r="P17" s="2">
        <f>ABS((O17-N17)/N17)*100%</f>
        <v>0.12121212121212122</v>
      </c>
      <c r="Q17" s="3">
        <v>12</v>
      </c>
      <c r="R17" s="3">
        <v>14</v>
      </c>
      <c r="S17" s="2">
        <f>ABS((R17-Q17)/Q17)*100%</f>
        <v>0.16666666666666666</v>
      </c>
      <c r="T17" s="1" t="s">
        <v>53</v>
      </c>
      <c r="U17" s="1" t="s">
        <v>22</v>
      </c>
      <c r="V17" s="1">
        <v>126</v>
      </c>
      <c r="W17" s="1">
        <v>123</v>
      </c>
      <c r="X17" s="2">
        <f>ABS((W17-V17)/V17)*100%</f>
        <v>2.3809523809523808E-2</v>
      </c>
      <c r="Y17" s="1">
        <v>5.9</v>
      </c>
      <c r="Z17" s="1">
        <v>5.9</v>
      </c>
      <c r="AA17" s="6">
        <f>ABS((Z17-Y17)/Y17)*100%</f>
        <v>0</v>
      </c>
      <c r="AB17" s="23">
        <v>0</v>
      </c>
      <c r="AC17" s="23">
        <v>0</v>
      </c>
      <c r="AD17" s="6">
        <v>0</v>
      </c>
      <c r="AE17" s="18" t="s">
        <v>175</v>
      </c>
    </row>
    <row r="18" spans="1:31" x14ac:dyDescent="0.25">
      <c r="A18" s="5">
        <v>45917</v>
      </c>
      <c r="B18" s="1" t="s">
        <v>33</v>
      </c>
      <c r="C18" s="1">
        <v>20</v>
      </c>
      <c r="D18" s="1">
        <v>1.72</v>
      </c>
      <c r="E18" s="1">
        <v>58</v>
      </c>
      <c r="F18" s="1" t="s">
        <v>218</v>
      </c>
      <c r="G18" s="1" t="s">
        <v>212</v>
      </c>
      <c r="H18" s="1" t="s">
        <v>34</v>
      </c>
      <c r="I18" s="1" t="s">
        <v>93</v>
      </c>
      <c r="J18" s="1" t="s">
        <v>93</v>
      </c>
      <c r="K18" s="3">
        <v>44</v>
      </c>
      <c r="L18" s="3">
        <v>43</v>
      </c>
      <c r="M18" s="2">
        <f>ABS((L18-K18)/K18)*100%</f>
        <v>2.2727272727272728E-2</v>
      </c>
      <c r="N18" s="3">
        <v>63</v>
      </c>
      <c r="O18" s="3">
        <v>66</v>
      </c>
      <c r="P18" s="2">
        <f>ABS((O18-N18)/N18)*100%</f>
        <v>4.7619047619047616E-2</v>
      </c>
      <c r="Q18" s="3">
        <v>12</v>
      </c>
      <c r="R18" s="3">
        <v>20</v>
      </c>
      <c r="S18" s="2">
        <f>ABS((R18-Q18)/Q18)*100%</f>
        <v>0.66666666666666663</v>
      </c>
      <c r="T18" s="1" t="s">
        <v>22</v>
      </c>
      <c r="U18" s="1" t="s">
        <v>22</v>
      </c>
      <c r="V18" s="1">
        <v>220</v>
      </c>
      <c r="W18" s="1">
        <v>196</v>
      </c>
      <c r="X18" s="2">
        <f>ABS((W18-V18)/V18)*100%</f>
        <v>0.10909090909090909</v>
      </c>
      <c r="Y18" s="1">
        <v>3.1</v>
      </c>
      <c r="Z18" s="1">
        <v>2.7</v>
      </c>
      <c r="AA18" s="6">
        <f>ABS((Z18-Y18)/Y18)*100%</f>
        <v>0.1290322580645161</v>
      </c>
      <c r="AB18" s="23">
        <v>0</v>
      </c>
      <c r="AC18" s="23">
        <v>0</v>
      </c>
      <c r="AD18" s="6">
        <v>0</v>
      </c>
      <c r="AE18" s="18" t="s">
        <v>175</v>
      </c>
    </row>
    <row r="19" spans="1:31" x14ac:dyDescent="0.25">
      <c r="A19" s="5">
        <v>45917</v>
      </c>
      <c r="B19" s="1" t="s">
        <v>174</v>
      </c>
      <c r="C19" s="1">
        <v>16</v>
      </c>
      <c r="D19" s="1">
        <v>0</v>
      </c>
      <c r="E19" s="1">
        <v>0</v>
      </c>
      <c r="F19" s="1" t="s">
        <v>218</v>
      </c>
      <c r="G19" s="1" t="s">
        <v>135</v>
      </c>
      <c r="H19" s="1" t="s">
        <v>79</v>
      </c>
      <c r="I19" s="1" t="s">
        <v>93</v>
      </c>
      <c r="J19" s="1" t="s">
        <v>154</v>
      </c>
      <c r="K19" s="3">
        <v>40</v>
      </c>
      <c r="L19" s="3">
        <v>40</v>
      </c>
      <c r="M19" s="2">
        <f>ABS((L19-K19)/K19)*100%</f>
        <v>0</v>
      </c>
      <c r="N19" s="3">
        <v>60</v>
      </c>
      <c r="O19" s="3">
        <v>50</v>
      </c>
      <c r="P19" s="2">
        <f>ABS((O19-N19)/N19)*100%</f>
        <v>0.16666666666666666</v>
      </c>
      <c r="Q19" s="3">
        <v>20</v>
      </c>
      <c r="R19" s="3">
        <v>21</v>
      </c>
      <c r="S19" s="2">
        <f>ABS((R19-Q19)/Q19)*100%</f>
        <v>0.05</v>
      </c>
      <c r="T19" s="1" t="s">
        <v>22</v>
      </c>
      <c r="U19" s="1" t="s">
        <v>48</v>
      </c>
      <c r="V19" s="1">
        <v>114</v>
      </c>
      <c r="W19" s="1">
        <v>95</v>
      </c>
      <c r="X19" s="2">
        <f>ABS((W19-V19)/V19)*100%</f>
        <v>0.16666666666666666</v>
      </c>
      <c r="Y19" s="1">
        <v>6.15</v>
      </c>
      <c r="Z19" s="1">
        <v>6.05</v>
      </c>
      <c r="AA19" s="6">
        <f>ABS((Z19-Y19)/Y19)*100%</f>
        <v>1.6260162601626101E-2</v>
      </c>
      <c r="AB19" s="23">
        <v>0</v>
      </c>
      <c r="AC19" s="23">
        <v>0</v>
      </c>
      <c r="AD19" s="6">
        <v>0</v>
      </c>
      <c r="AE19" s="1" t="s">
        <v>175</v>
      </c>
    </row>
    <row r="20" spans="1:31" x14ac:dyDescent="0.25">
      <c r="A20" s="5">
        <v>45917</v>
      </c>
      <c r="B20" s="1" t="s">
        <v>41</v>
      </c>
      <c r="C20" s="1">
        <v>17</v>
      </c>
      <c r="D20" s="1">
        <v>1.7</v>
      </c>
      <c r="E20" s="1">
        <v>56</v>
      </c>
      <c r="F20" s="1" t="s">
        <v>218</v>
      </c>
      <c r="G20" s="1" t="s">
        <v>67</v>
      </c>
      <c r="H20" s="1" t="s">
        <v>79</v>
      </c>
      <c r="I20" s="1" t="s">
        <v>80</v>
      </c>
      <c r="J20" s="1" t="s">
        <v>68</v>
      </c>
      <c r="K20" s="3">
        <v>40</v>
      </c>
      <c r="L20" s="3">
        <v>38</v>
      </c>
      <c r="M20" s="2">
        <f>ABS((L20-K20)/K20)*100%</f>
        <v>0.05</v>
      </c>
      <c r="N20" s="3">
        <v>35</v>
      </c>
      <c r="O20" s="3">
        <v>28</v>
      </c>
      <c r="P20" s="2">
        <f>ABS((O20-N20)/N20)*100%</f>
        <v>0.2</v>
      </c>
      <c r="Q20" s="3">
        <v>18</v>
      </c>
      <c r="R20" s="3">
        <v>20</v>
      </c>
      <c r="S20" s="2">
        <f>ABS((R20-Q20)/Q20)*100%</f>
        <v>0.1111111111111111</v>
      </c>
      <c r="T20" s="1" t="s">
        <v>22</v>
      </c>
      <c r="U20" s="1" t="s">
        <v>22</v>
      </c>
      <c r="V20" s="1">
        <v>122</v>
      </c>
      <c r="W20" s="1">
        <v>133</v>
      </c>
      <c r="X20" s="2">
        <f>ABS((W20-V20)/V20)*100%</f>
        <v>9.0163934426229511E-2</v>
      </c>
      <c r="Y20" s="1">
        <v>6.4</v>
      </c>
      <c r="Z20" s="1">
        <v>7.2</v>
      </c>
      <c r="AA20" s="6">
        <f>ABS((Z20-Y20)/Y20)*100%</f>
        <v>0.12499999999999997</v>
      </c>
      <c r="AB20" s="23">
        <v>0</v>
      </c>
      <c r="AC20" s="23">
        <v>0</v>
      </c>
      <c r="AD20" s="6">
        <v>0</v>
      </c>
      <c r="AE20" s="1" t="s">
        <v>175</v>
      </c>
    </row>
    <row r="21" spans="1:31" x14ac:dyDescent="0.25">
      <c r="A21" s="5">
        <v>45917</v>
      </c>
      <c r="B21" s="1" t="s">
        <v>24</v>
      </c>
      <c r="C21" s="1">
        <v>15</v>
      </c>
      <c r="D21" s="1">
        <v>1.6</v>
      </c>
      <c r="E21" s="1">
        <v>62</v>
      </c>
      <c r="F21" s="1" t="s">
        <v>218</v>
      </c>
      <c r="G21" s="1" t="s">
        <v>85</v>
      </c>
      <c r="H21" s="1" t="s">
        <v>25</v>
      </c>
      <c r="I21" s="1" t="s">
        <v>80</v>
      </c>
      <c r="J21" s="1" t="s">
        <v>80</v>
      </c>
      <c r="K21" s="3">
        <v>45</v>
      </c>
      <c r="L21" s="3">
        <v>45</v>
      </c>
      <c r="M21" s="2">
        <f>ABS((L21-K21)/K21)*100%</f>
        <v>0</v>
      </c>
      <c r="N21" s="3">
        <v>45</v>
      </c>
      <c r="O21" s="3">
        <v>28</v>
      </c>
      <c r="P21" s="2">
        <f>ABS((O21-N21)/N21)*100%</f>
        <v>0.37777777777777777</v>
      </c>
      <c r="Q21" s="3">
        <v>15</v>
      </c>
      <c r="R21" s="3">
        <v>10</v>
      </c>
      <c r="S21" s="2">
        <f>ABS((R21-Q21)/Q21)*100%</f>
        <v>0.33333333333333331</v>
      </c>
      <c r="T21" s="1" t="s">
        <v>22</v>
      </c>
      <c r="U21" s="1" t="s">
        <v>22</v>
      </c>
      <c r="V21" s="1">
        <v>162</v>
      </c>
      <c r="W21" s="1">
        <v>167</v>
      </c>
      <c r="X21" s="2">
        <f>ABS((W21-V21)/V21)*100%</f>
        <v>3.0864197530864196E-2</v>
      </c>
      <c r="Y21" s="1">
        <v>6.7</v>
      </c>
      <c r="Z21" s="1">
        <v>7.5</v>
      </c>
      <c r="AA21" s="6">
        <f>ABS((Z21-Y21)/Y21)*100%</f>
        <v>0.11940298507462684</v>
      </c>
      <c r="AB21" s="23">
        <v>0</v>
      </c>
      <c r="AC21" s="23">
        <v>0</v>
      </c>
      <c r="AD21" s="6">
        <v>0</v>
      </c>
      <c r="AE21" s="1" t="s">
        <v>175</v>
      </c>
    </row>
    <row r="22" spans="1:31" x14ac:dyDescent="0.25">
      <c r="A22" s="5">
        <v>45917</v>
      </c>
      <c r="B22" s="18" t="s">
        <v>120</v>
      </c>
      <c r="C22" s="1">
        <v>19</v>
      </c>
      <c r="D22" s="1">
        <v>1.76</v>
      </c>
      <c r="E22" s="1">
        <v>63</v>
      </c>
      <c r="F22" s="1" t="s">
        <v>218</v>
      </c>
      <c r="G22" s="1" t="s">
        <v>131</v>
      </c>
      <c r="H22" s="4" t="s">
        <v>36</v>
      </c>
      <c r="I22" s="1" t="s">
        <v>93</v>
      </c>
      <c r="J22" s="1" t="s">
        <v>21</v>
      </c>
      <c r="K22" s="3">
        <v>34</v>
      </c>
      <c r="L22" s="3">
        <v>32</v>
      </c>
      <c r="M22" s="2">
        <f>ABS((L22-K22)/K22)*100%</f>
        <v>5.8823529411764705E-2</v>
      </c>
      <c r="N22" s="3">
        <v>47</v>
      </c>
      <c r="O22" s="3">
        <v>29</v>
      </c>
      <c r="P22" s="2">
        <f>ABS((O22-N22)/N22)*100%</f>
        <v>0.38297872340425532</v>
      </c>
      <c r="Q22" s="3">
        <v>15</v>
      </c>
      <c r="R22" s="3">
        <v>12</v>
      </c>
      <c r="S22" s="2">
        <f>ABS((R22-Q22)/Q22)*100%</f>
        <v>0.2</v>
      </c>
      <c r="T22" s="1" t="s">
        <v>22</v>
      </c>
      <c r="U22" s="1" t="s">
        <v>22</v>
      </c>
      <c r="V22" s="1">
        <v>179</v>
      </c>
      <c r="W22" s="1">
        <v>150</v>
      </c>
      <c r="X22" s="2">
        <f>ABS((W22-V22)/V22)*100%</f>
        <v>0.16201117318435754</v>
      </c>
      <c r="Y22" s="1">
        <v>4.7</v>
      </c>
      <c r="Z22" s="1">
        <v>4.95</v>
      </c>
      <c r="AA22" s="6">
        <f>ABS((Z22-Y22)/Y22)*100%</f>
        <v>5.3191489361702128E-2</v>
      </c>
      <c r="AB22" s="23">
        <v>0</v>
      </c>
      <c r="AC22" s="23">
        <v>0</v>
      </c>
      <c r="AD22" s="6">
        <v>0</v>
      </c>
      <c r="AE22" s="18" t="s">
        <v>175</v>
      </c>
    </row>
    <row r="23" spans="1:31" x14ac:dyDescent="0.25">
      <c r="A23" s="5">
        <v>45917</v>
      </c>
      <c r="B23" s="1" t="s">
        <v>42</v>
      </c>
      <c r="C23" s="1">
        <v>16</v>
      </c>
      <c r="D23" s="1">
        <v>1.53</v>
      </c>
      <c r="E23" s="1">
        <v>58</v>
      </c>
      <c r="F23" s="1" t="s">
        <v>218</v>
      </c>
      <c r="G23" s="1" t="s">
        <v>74</v>
      </c>
      <c r="H23" s="1" t="s">
        <v>43</v>
      </c>
      <c r="I23" s="1" t="s">
        <v>68</v>
      </c>
      <c r="J23" s="1" t="s">
        <v>68</v>
      </c>
      <c r="K23" s="3">
        <v>49</v>
      </c>
      <c r="L23" s="3">
        <v>46</v>
      </c>
      <c r="M23" s="2">
        <f>ABS((L23-K23)/K23)*100%</f>
        <v>6.1224489795918366E-2</v>
      </c>
      <c r="N23" s="3">
        <v>30</v>
      </c>
      <c r="O23" s="3">
        <v>29</v>
      </c>
      <c r="P23" s="2">
        <f>ABS((O23-N23)/N23)*100%</f>
        <v>3.3333333333333333E-2</v>
      </c>
      <c r="Q23" s="3">
        <v>15</v>
      </c>
      <c r="R23" s="3">
        <v>21</v>
      </c>
      <c r="S23" s="2">
        <f>ABS((R23-Q23)/Q23)*100%</f>
        <v>0.4</v>
      </c>
      <c r="T23" s="1" t="s">
        <v>68</v>
      </c>
      <c r="U23" s="1" t="s">
        <v>68</v>
      </c>
      <c r="V23" s="1">
        <v>140</v>
      </c>
      <c r="W23" s="1">
        <v>130</v>
      </c>
      <c r="X23" s="2">
        <f>ABS((W23-V23)/V23)*100%</f>
        <v>7.1428571428571425E-2</v>
      </c>
      <c r="Y23" s="1">
        <v>5.5</v>
      </c>
      <c r="Z23" s="1">
        <v>4.2</v>
      </c>
      <c r="AA23" s="6">
        <f>ABS((Z23-Y23)/Y23)*100%</f>
        <v>0.23636363636363633</v>
      </c>
      <c r="AB23" s="23">
        <v>0</v>
      </c>
      <c r="AC23" s="23">
        <v>0</v>
      </c>
      <c r="AD23" s="6">
        <v>0</v>
      </c>
      <c r="AE23" s="1" t="s">
        <v>175</v>
      </c>
    </row>
    <row r="24" spans="1:31" x14ac:dyDescent="0.25">
      <c r="A24" s="5">
        <v>45917</v>
      </c>
      <c r="B24" s="1" t="s">
        <v>50</v>
      </c>
      <c r="C24" s="1">
        <v>20</v>
      </c>
      <c r="D24" s="1">
        <v>171</v>
      </c>
      <c r="E24" s="1">
        <v>58</v>
      </c>
      <c r="F24" s="1" t="s">
        <v>218</v>
      </c>
      <c r="G24" s="1" t="s">
        <v>85</v>
      </c>
      <c r="H24" s="1" t="s">
        <v>26</v>
      </c>
      <c r="I24" s="1" t="s">
        <v>80</v>
      </c>
      <c r="J24" s="1" t="s">
        <v>68</v>
      </c>
      <c r="K24" s="3">
        <v>39</v>
      </c>
      <c r="L24" s="3">
        <v>27</v>
      </c>
      <c r="M24" s="2">
        <f>ABS((L24-K24)/K24)*100%</f>
        <v>0.30769230769230771</v>
      </c>
      <c r="N24" s="3">
        <v>55</v>
      </c>
      <c r="O24" s="3">
        <v>43</v>
      </c>
      <c r="P24" s="2">
        <f>ABS((O24-N24)/N24)*100%</f>
        <v>0.21818181818181817</v>
      </c>
      <c r="Q24" s="3">
        <v>14</v>
      </c>
      <c r="R24" s="3">
        <v>13</v>
      </c>
      <c r="S24" s="2">
        <f>ABS((R24-Q24)/Q24)*100%</f>
        <v>7.1428571428571425E-2</v>
      </c>
      <c r="T24" s="1" t="s">
        <v>22</v>
      </c>
      <c r="U24" s="1" t="s">
        <v>51</v>
      </c>
      <c r="V24" s="1">
        <v>128</v>
      </c>
      <c r="W24" s="1">
        <v>145</v>
      </c>
      <c r="X24" s="2">
        <f>ABS((W24-V24)/V24)*100%</f>
        <v>0.1328125</v>
      </c>
      <c r="Y24" s="1">
        <v>3.65</v>
      </c>
      <c r="Z24" s="1">
        <v>5.15</v>
      </c>
      <c r="AA24" s="6">
        <f>ABS((Z24-Y24)/Y24)*100%</f>
        <v>0.41095890410958918</v>
      </c>
      <c r="AB24" s="23">
        <v>0</v>
      </c>
      <c r="AC24" s="23">
        <v>0</v>
      </c>
      <c r="AD24" s="6">
        <v>0</v>
      </c>
      <c r="AE24" s="1" t="s">
        <v>175</v>
      </c>
    </row>
    <row r="25" spans="1:31" x14ac:dyDescent="0.25">
      <c r="A25" s="5">
        <v>45917</v>
      </c>
      <c r="B25" s="1" t="s">
        <v>32</v>
      </c>
      <c r="C25" s="1">
        <v>19</v>
      </c>
      <c r="D25" s="1">
        <v>1.69</v>
      </c>
      <c r="E25" s="1">
        <v>61</v>
      </c>
      <c r="F25" s="1" t="s">
        <v>218</v>
      </c>
      <c r="G25" s="1" t="s">
        <v>85</v>
      </c>
      <c r="H25" s="1" t="s">
        <v>79</v>
      </c>
      <c r="I25" s="1" t="s">
        <v>68</v>
      </c>
      <c r="J25" s="1" t="s">
        <v>68</v>
      </c>
      <c r="K25" s="3">
        <v>50</v>
      </c>
      <c r="L25" s="3">
        <v>52</v>
      </c>
      <c r="M25" s="2">
        <f>ABS((L25-K25)/K25)*100%</f>
        <v>0.04</v>
      </c>
      <c r="N25" s="3">
        <v>60</v>
      </c>
      <c r="O25" s="3">
        <v>60</v>
      </c>
      <c r="P25" s="2">
        <f>ABS((O25-N25)/N25)*100%</f>
        <v>0</v>
      </c>
      <c r="Q25" s="3">
        <v>25</v>
      </c>
      <c r="R25" s="3">
        <v>20</v>
      </c>
      <c r="S25" s="2">
        <f>ABS((R25-Q25)/Q25)*100%</f>
        <v>0.2</v>
      </c>
      <c r="T25" s="1" t="s">
        <v>22</v>
      </c>
      <c r="U25" s="1" t="s">
        <v>22</v>
      </c>
      <c r="V25" s="1">
        <v>156</v>
      </c>
      <c r="W25" s="1">
        <v>128</v>
      </c>
      <c r="X25" s="2">
        <f>ABS((W25-V25)/V25)*100%</f>
        <v>0.17948717948717949</v>
      </c>
      <c r="Y25" s="1">
        <v>5.2</v>
      </c>
      <c r="Z25" s="1">
        <v>6.3</v>
      </c>
      <c r="AA25" s="6">
        <f>ABS((Z25-Y25)/Y25)*100%</f>
        <v>0.21153846153846145</v>
      </c>
      <c r="AB25" s="23">
        <v>0</v>
      </c>
      <c r="AC25" s="23">
        <v>0</v>
      </c>
      <c r="AD25" s="6">
        <v>0</v>
      </c>
      <c r="AE25" s="1" t="s">
        <v>175</v>
      </c>
    </row>
    <row r="26" spans="1:31" x14ac:dyDescent="0.25">
      <c r="A26" s="5">
        <v>45917</v>
      </c>
      <c r="B26" s="1" t="s">
        <v>44</v>
      </c>
      <c r="C26" s="1">
        <v>34</v>
      </c>
      <c r="D26" s="1">
        <v>0</v>
      </c>
      <c r="E26" s="1">
        <v>63</v>
      </c>
      <c r="F26" s="1" t="s">
        <v>218</v>
      </c>
      <c r="G26" s="1" t="s">
        <v>85</v>
      </c>
      <c r="H26" s="1" t="s">
        <v>25</v>
      </c>
      <c r="I26" s="1" t="s">
        <v>68</v>
      </c>
      <c r="J26" s="1" t="s">
        <v>68</v>
      </c>
      <c r="K26" s="3">
        <v>45</v>
      </c>
      <c r="L26" s="3">
        <v>45</v>
      </c>
      <c r="M26" s="2">
        <f>ABS((L26-K26)/K26)*100%</f>
        <v>0</v>
      </c>
      <c r="N26" s="3">
        <v>60</v>
      </c>
      <c r="O26" s="3">
        <v>60</v>
      </c>
      <c r="P26" s="2">
        <f>ABS((O26-N26)/N26)*100%</f>
        <v>0</v>
      </c>
      <c r="Q26" s="3">
        <v>25</v>
      </c>
      <c r="R26" s="3">
        <v>25</v>
      </c>
      <c r="S26" s="2">
        <f>ABS((R26-Q26)/Q26)*100%</f>
        <v>0</v>
      </c>
      <c r="T26" s="1" t="s">
        <v>22</v>
      </c>
      <c r="U26" s="1" t="s">
        <v>22</v>
      </c>
      <c r="V26" s="1">
        <v>113</v>
      </c>
      <c r="W26" s="1">
        <v>112</v>
      </c>
      <c r="X26" s="2">
        <f>ABS((W26-V26)/V26)*100%</f>
        <v>8.8495575221238937E-3</v>
      </c>
      <c r="Y26" s="1">
        <v>9.1999999999999993</v>
      </c>
      <c r="Z26" s="1">
        <v>9.6</v>
      </c>
      <c r="AA26" s="6">
        <f>ABS((Z26-Y26)/Y26)*100%</f>
        <v>4.3478260869565258E-2</v>
      </c>
      <c r="AB26" s="23">
        <v>0</v>
      </c>
      <c r="AC26" s="23">
        <v>0</v>
      </c>
      <c r="AD26" s="6">
        <v>0</v>
      </c>
      <c r="AE26" s="18" t="s">
        <v>176</v>
      </c>
    </row>
    <row r="27" spans="1:31" x14ac:dyDescent="0.25">
      <c r="A27" s="5">
        <v>45917</v>
      </c>
      <c r="B27" s="20" t="s">
        <v>130</v>
      </c>
      <c r="C27" s="1">
        <v>19</v>
      </c>
      <c r="D27" s="1">
        <v>1.5</v>
      </c>
      <c r="E27" s="1">
        <v>45</v>
      </c>
      <c r="F27" s="1" t="s">
        <v>218</v>
      </c>
      <c r="G27" s="1" t="s">
        <v>131</v>
      </c>
      <c r="H27" s="1" t="s">
        <v>37</v>
      </c>
      <c r="I27" s="1" t="s">
        <v>93</v>
      </c>
      <c r="J27" s="1" t="s">
        <v>93</v>
      </c>
      <c r="K27" s="3">
        <v>35</v>
      </c>
      <c r="L27" s="3">
        <v>30</v>
      </c>
      <c r="M27" s="2">
        <f>ABS((L27-K27)/K27)*100%</f>
        <v>0.14285714285714285</v>
      </c>
      <c r="N27" s="3">
        <v>43</v>
      </c>
      <c r="O27" s="3">
        <v>40</v>
      </c>
      <c r="P27" s="2">
        <f>ABS((O27-N27)/N27)*100%</f>
        <v>6.9767441860465115E-2</v>
      </c>
      <c r="Q27" s="3">
        <v>7</v>
      </c>
      <c r="R27" s="3">
        <v>6</v>
      </c>
      <c r="S27" s="2">
        <f>ABS((R27-Q27)/Q27)*100%</f>
        <v>0.14285714285714285</v>
      </c>
      <c r="T27" s="1" t="s">
        <v>22</v>
      </c>
      <c r="U27" s="1" t="s">
        <v>22</v>
      </c>
      <c r="V27" s="1">
        <v>161</v>
      </c>
      <c r="W27" s="1">
        <v>137</v>
      </c>
      <c r="X27" s="2">
        <f>ABS((W27-V27)/V27)*100%</f>
        <v>0.14906832298136646</v>
      </c>
      <c r="Y27" s="1">
        <v>3.8</v>
      </c>
      <c r="Z27" s="1">
        <v>2.25</v>
      </c>
      <c r="AA27" s="6">
        <f>ABS((Z27-Y27)/Y27)*100%</f>
        <v>0.40789473684210525</v>
      </c>
      <c r="AB27" s="23">
        <v>0</v>
      </c>
      <c r="AC27" s="23">
        <v>0</v>
      </c>
      <c r="AD27" s="6">
        <v>0</v>
      </c>
      <c r="AE27" s="18" t="s">
        <v>177</v>
      </c>
    </row>
    <row r="28" spans="1:31" x14ac:dyDescent="0.25">
      <c r="A28" s="5">
        <v>45917</v>
      </c>
      <c r="B28" s="47" t="s">
        <v>185</v>
      </c>
      <c r="C28" s="1">
        <v>22</v>
      </c>
      <c r="D28" s="1">
        <v>1.66</v>
      </c>
      <c r="E28" s="1">
        <v>66</v>
      </c>
      <c r="F28" s="1" t="s">
        <v>218</v>
      </c>
      <c r="G28" s="1" t="s">
        <v>74</v>
      </c>
      <c r="H28" s="4" t="s">
        <v>35</v>
      </c>
      <c r="I28" s="1" t="s">
        <v>68</v>
      </c>
      <c r="J28" s="1" t="s">
        <v>68</v>
      </c>
      <c r="K28" s="3">
        <v>44</v>
      </c>
      <c r="L28" s="3">
        <v>37</v>
      </c>
      <c r="M28" s="2">
        <f>ABS((L28-K28)/K28)*100%</f>
        <v>0.15909090909090909</v>
      </c>
      <c r="N28" s="3">
        <v>60</v>
      </c>
      <c r="O28" s="3">
        <v>60</v>
      </c>
      <c r="P28" s="2">
        <f>ABS((O28-N28)/N28)*100%</f>
        <v>0</v>
      </c>
      <c r="Q28" s="3">
        <v>25</v>
      </c>
      <c r="R28" s="3">
        <v>25</v>
      </c>
      <c r="S28" s="2">
        <f>ABS((R28-Q28)/Q28)*100%</f>
        <v>0</v>
      </c>
      <c r="T28" s="1" t="s">
        <v>68</v>
      </c>
      <c r="U28" s="1" t="s">
        <v>22</v>
      </c>
      <c r="V28" s="1">
        <v>154</v>
      </c>
      <c r="W28" s="1">
        <v>142</v>
      </c>
      <c r="X28" s="2">
        <f>ABS((W28-V28)/V28)*100%</f>
        <v>7.792207792207792E-2</v>
      </c>
      <c r="Y28" s="1">
        <v>4.8</v>
      </c>
      <c r="Z28" s="1">
        <v>5.2</v>
      </c>
      <c r="AA28" s="6">
        <f>ABS((Z28-Y28)/Y28)*100%</f>
        <v>8.3333333333333412E-2</v>
      </c>
      <c r="AB28" s="23">
        <v>0</v>
      </c>
      <c r="AC28" s="23">
        <v>0</v>
      </c>
      <c r="AD28" s="6">
        <v>0</v>
      </c>
      <c r="AE28" s="18" t="s">
        <v>175</v>
      </c>
    </row>
    <row r="29" spans="1:31" x14ac:dyDescent="0.25">
      <c r="A29" s="5">
        <v>45917</v>
      </c>
      <c r="B29" s="11" t="s">
        <v>57</v>
      </c>
      <c r="C29" s="11">
        <v>18</v>
      </c>
      <c r="D29" s="11">
        <v>1.66</v>
      </c>
      <c r="E29" s="11">
        <v>0</v>
      </c>
      <c r="F29" s="1" t="s">
        <v>218</v>
      </c>
      <c r="G29" s="11" t="s">
        <v>74</v>
      </c>
      <c r="H29" s="11" t="s">
        <v>26</v>
      </c>
      <c r="I29" s="11" t="s">
        <v>68</v>
      </c>
      <c r="J29" s="11" t="s">
        <v>80</v>
      </c>
      <c r="K29" s="12">
        <v>48</v>
      </c>
      <c r="L29" s="12">
        <v>42</v>
      </c>
      <c r="M29" s="13">
        <f>ABS((L29-K29)/K29)*100%</f>
        <v>0.125</v>
      </c>
      <c r="N29" s="12">
        <v>55</v>
      </c>
      <c r="O29" s="12">
        <v>48</v>
      </c>
      <c r="P29" s="13">
        <f>ABS((O29-N29)/N29)*100%</f>
        <v>0.12727272727272726</v>
      </c>
      <c r="Q29" s="12">
        <v>26</v>
      </c>
      <c r="R29" s="12">
        <v>26</v>
      </c>
      <c r="S29" s="13">
        <f>ABS((R29-Q29)/Q29)*100%</f>
        <v>0</v>
      </c>
      <c r="T29" s="11" t="s">
        <v>56</v>
      </c>
      <c r="U29" s="11" t="s">
        <v>56</v>
      </c>
      <c r="V29" s="11">
        <v>133</v>
      </c>
      <c r="W29" s="11">
        <v>149</v>
      </c>
      <c r="X29" s="13">
        <f>ABS((W29-V29)/V29)*100%</f>
        <v>0.12030075187969924</v>
      </c>
      <c r="Y29" s="11">
        <v>8.6999999999999993</v>
      </c>
      <c r="Z29" s="11">
        <v>6.1</v>
      </c>
      <c r="AA29" s="14">
        <f>ABS((Z29-Y29)/Y29)*100%</f>
        <v>0.29885057471264365</v>
      </c>
      <c r="AB29" s="23">
        <v>0</v>
      </c>
      <c r="AC29" s="23">
        <v>0</v>
      </c>
      <c r="AD29" s="6">
        <v>0</v>
      </c>
      <c r="AE29" s="18" t="s">
        <v>175</v>
      </c>
    </row>
    <row r="30" spans="1:31" x14ac:dyDescent="0.25">
      <c r="A30" s="34">
        <v>45957</v>
      </c>
      <c r="B30" s="1" t="s">
        <v>198</v>
      </c>
      <c r="C30" s="26">
        <v>20</v>
      </c>
      <c r="D30" s="26">
        <v>1.62</v>
      </c>
      <c r="E30" s="26">
        <v>0</v>
      </c>
      <c r="F30" s="18" t="s">
        <v>219</v>
      </c>
      <c r="G30" s="18" t="s">
        <v>131</v>
      </c>
      <c r="H30" s="25" t="s">
        <v>199</v>
      </c>
      <c r="I30" s="25" t="s">
        <v>68</v>
      </c>
      <c r="J30" s="25" t="s">
        <v>68</v>
      </c>
      <c r="K30" s="36">
        <v>29</v>
      </c>
      <c r="L30" s="36">
        <v>24</v>
      </c>
      <c r="M30" s="31">
        <v>0.1724</v>
      </c>
      <c r="N30" s="29">
        <v>60</v>
      </c>
      <c r="O30" s="36">
        <v>20</v>
      </c>
      <c r="P30" s="31">
        <v>0.66669999999999996</v>
      </c>
      <c r="Q30" s="29">
        <v>20</v>
      </c>
      <c r="R30" s="32">
        <v>17</v>
      </c>
      <c r="S30" s="31">
        <v>0.15</v>
      </c>
      <c r="T30" s="25" t="s">
        <v>187</v>
      </c>
      <c r="U30" s="25" t="s">
        <v>187</v>
      </c>
      <c r="V30" s="26">
        <v>138</v>
      </c>
      <c r="W30" s="26">
        <v>126</v>
      </c>
      <c r="X30" s="30">
        <f>ABS((W30-V30)/V30)*100%</f>
        <v>8.6956521739130432E-2</v>
      </c>
      <c r="Y30" s="25">
        <v>3.15</v>
      </c>
      <c r="Z30" s="25">
        <v>4.3499999999999996</v>
      </c>
      <c r="AA30" s="40">
        <f>ABS((Z30-Y30)/Y30)*100%</f>
        <v>0.38095238095238088</v>
      </c>
      <c r="AB30" s="1">
        <v>0</v>
      </c>
      <c r="AC30" s="1">
        <v>0</v>
      </c>
      <c r="AD30" s="42">
        <v>0</v>
      </c>
      <c r="AE30" s="1" t="s">
        <v>175</v>
      </c>
    </row>
    <row r="31" spans="1:31" x14ac:dyDescent="0.25">
      <c r="A31" s="34">
        <v>45957</v>
      </c>
      <c r="B31" s="1" t="s">
        <v>188</v>
      </c>
      <c r="C31" s="26">
        <v>18</v>
      </c>
      <c r="D31" s="26">
        <v>1.59</v>
      </c>
      <c r="E31" s="26">
        <v>50</v>
      </c>
      <c r="F31" s="18" t="s">
        <v>219</v>
      </c>
      <c r="G31" s="18" t="s">
        <v>149</v>
      </c>
      <c r="H31" s="25" t="s">
        <v>189</v>
      </c>
      <c r="I31" s="25" t="s">
        <v>190</v>
      </c>
      <c r="J31" s="25" t="s">
        <v>191</v>
      </c>
      <c r="K31" s="36">
        <v>0</v>
      </c>
      <c r="L31" s="36">
        <v>0</v>
      </c>
      <c r="M31" s="43" t="e">
        <v>#DIV/0!</v>
      </c>
      <c r="N31" s="37">
        <v>39</v>
      </c>
      <c r="O31" s="29">
        <v>46</v>
      </c>
      <c r="P31" s="31">
        <v>0.17949999999999999</v>
      </c>
      <c r="Q31" s="32">
        <v>0</v>
      </c>
      <c r="R31" s="32">
        <v>0</v>
      </c>
      <c r="S31" s="43">
        <v>0</v>
      </c>
      <c r="T31" s="26">
        <v>0</v>
      </c>
      <c r="U31" s="26">
        <v>0</v>
      </c>
      <c r="V31" s="26">
        <v>114</v>
      </c>
      <c r="W31" s="26">
        <v>70</v>
      </c>
      <c r="X31" s="31">
        <f>ABS((W31-V31)/V31)*100%</f>
        <v>0.38596491228070173</v>
      </c>
      <c r="Y31" s="28">
        <v>45878</v>
      </c>
      <c r="Z31" s="26">
        <v>5</v>
      </c>
      <c r="AA31" s="40">
        <f>ABS((Z31-Y31)/Y31)*100%</f>
        <v>0.99989101530145164</v>
      </c>
      <c r="AB31" s="1">
        <v>0</v>
      </c>
      <c r="AC31" s="1">
        <v>0</v>
      </c>
      <c r="AD31" s="42">
        <v>0</v>
      </c>
      <c r="AE31" s="1" t="s">
        <v>175</v>
      </c>
    </row>
    <row r="32" spans="1:31" x14ac:dyDescent="0.25">
      <c r="A32" s="34">
        <v>45957</v>
      </c>
      <c r="B32" s="18" t="s">
        <v>77</v>
      </c>
      <c r="C32" s="26">
        <v>18</v>
      </c>
      <c r="D32" s="1">
        <v>1.62</v>
      </c>
      <c r="E32" s="26">
        <v>0</v>
      </c>
      <c r="F32" s="18" t="s">
        <v>219</v>
      </c>
      <c r="G32" s="1" t="s">
        <v>74</v>
      </c>
      <c r="H32" s="25" t="s">
        <v>217</v>
      </c>
      <c r="I32" s="25" t="s">
        <v>68</v>
      </c>
      <c r="J32" s="25" t="s">
        <v>68</v>
      </c>
      <c r="K32" s="36">
        <v>51</v>
      </c>
      <c r="L32" s="36">
        <v>53</v>
      </c>
      <c r="M32" s="30">
        <v>3.9199999999999999E-2</v>
      </c>
      <c r="N32" s="29">
        <v>60</v>
      </c>
      <c r="O32" s="29">
        <v>51</v>
      </c>
      <c r="P32" s="31">
        <v>0.15</v>
      </c>
      <c r="Q32" s="29">
        <v>27</v>
      </c>
      <c r="R32" s="29">
        <v>27</v>
      </c>
      <c r="S32" s="30">
        <v>0</v>
      </c>
      <c r="T32" s="25" t="s">
        <v>68</v>
      </c>
      <c r="U32" s="25" t="s">
        <v>68</v>
      </c>
      <c r="V32" s="26">
        <v>130</v>
      </c>
      <c r="W32" s="26">
        <v>138</v>
      </c>
      <c r="X32" s="30">
        <f>ABS((W32-V32)/V32)*100%</f>
        <v>6.1538461538461542E-2</v>
      </c>
      <c r="Y32" s="25">
        <v>9.56</v>
      </c>
      <c r="Z32" s="25">
        <v>11.7</v>
      </c>
      <c r="AA32" s="40">
        <f>ABS((Z32-Y32)/Y32)*100%</f>
        <v>0.2238493723849371</v>
      </c>
      <c r="AB32" s="1">
        <v>0</v>
      </c>
      <c r="AC32" s="1">
        <v>0</v>
      </c>
      <c r="AD32" s="42">
        <v>0</v>
      </c>
      <c r="AE32" s="18" t="s">
        <v>175</v>
      </c>
    </row>
    <row r="33" spans="1:31" x14ac:dyDescent="0.25">
      <c r="A33" s="34">
        <v>45957</v>
      </c>
      <c r="B33" s="1" t="s">
        <v>206</v>
      </c>
      <c r="C33" s="26">
        <v>23</v>
      </c>
      <c r="D33" s="26">
        <v>1.58</v>
      </c>
      <c r="E33" s="26">
        <v>62</v>
      </c>
      <c r="F33" s="18" t="s">
        <v>219</v>
      </c>
      <c r="G33" s="18" t="s">
        <v>90</v>
      </c>
      <c r="H33" s="25" t="s">
        <v>39</v>
      </c>
      <c r="I33" s="25" t="s">
        <v>80</v>
      </c>
      <c r="J33" s="25" t="s">
        <v>80</v>
      </c>
      <c r="K33" s="29">
        <v>42</v>
      </c>
      <c r="L33" s="29">
        <v>45</v>
      </c>
      <c r="M33" s="30">
        <v>7.1400000000000005E-2</v>
      </c>
      <c r="N33" s="29">
        <v>60</v>
      </c>
      <c r="O33" s="29">
        <v>60</v>
      </c>
      <c r="P33" s="30">
        <v>0</v>
      </c>
      <c r="Q33" s="29">
        <v>36</v>
      </c>
      <c r="R33" s="29">
        <v>35</v>
      </c>
      <c r="S33" s="30">
        <v>2.7799999999999998E-2</v>
      </c>
      <c r="T33" s="25" t="s">
        <v>68</v>
      </c>
      <c r="U33" s="25" t="s">
        <v>187</v>
      </c>
      <c r="V33" s="26">
        <v>136</v>
      </c>
      <c r="W33" s="26">
        <v>152</v>
      </c>
      <c r="X33" s="46">
        <f>ABS((W33-V33)/V33)*100%</f>
        <v>0.11764705882352941</v>
      </c>
      <c r="Y33" s="26">
        <v>11</v>
      </c>
      <c r="Z33" s="26">
        <v>11</v>
      </c>
      <c r="AA33" s="33">
        <f>ABS((Z33-Y33)/Y33)*100%</f>
        <v>0</v>
      </c>
      <c r="AB33" s="1">
        <v>0</v>
      </c>
      <c r="AC33" s="1">
        <v>0</v>
      </c>
      <c r="AD33" s="42">
        <v>0</v>
      </c>
      <c r="AE33" s="1" t="s">
        <v>176</v>
      </c>
    </row>
    <row r="34" spans="1:31" x14ac:dyDescent="0.25">
      <c r="A34" s="34">
        <v>45957</v>
      </c>
      <c r="B34" s="1" t="s">
        <v>202</v>
      </c>
      <c r="C34" s="26">
        <v>19</v>
      </c>
      <c r="D34" s="26">
        <v>1.55</v>
      </c>
      <c r="E34" s="26">
        <v>60</v>
      </c>
      <c r="F34" s="18" t="s">
        <v>219</v>
      </c>
      <c r="G34" s="18" t="s">
        <v>209</v>
      </c>
      <c r="H34" s="25" t="s">
        <v>203</v>
      </c>
      <c r="I34" s="25" t="s">
        <v>80</v>
      </c>
      <c r="J34" s="25" t="s">
        <v>80</v>
      </c>
      <c r="K34" s="29">
        <v>38</v>
      </c>
      <c r="L34" s="29">
        <v>35</v>
      </c>
      <c r="M34" s="30">
        <v>7.8899999999999998E-2</v>
      </c>
      <c r="N34" s="29">
        <v>54</v>
      </c>
      <c r="O34" s="29">
        <v>60</v>
      </c>
      <c r="P34" s="38">
        <v>0.1111</v>
      </c>
      <c r="Q34" s="29">
        <v>22</v>
      </c>
      <c r="R34" s="29">
        <v>24</v>
      </c>
      <c r="S34" s="30">
        <v>9.0899999999999995E-2</v>
      </c>
      <c r="T34" s="25" t="s">
        <v>68</v>
      </c>
      <c r="U34" s="25" t="s">
        <v>187</v>
      </c>
      <c r="V34" s="26">
        <v>128</v>
      </c>
      <c r="W34" s="26">
        <v>128</v>
      </c>
      <c r="X34" s="30">
        <f>ABS((W34-V34)/V34)*100%</f>
        <v>0</v>
      </c>
      <c r="Y34" s="25">
        <v>7.3</v>
      </c>
      <c r="Z34" s="25">
        <v>9.4499999999999993</v>
      </c>
      <c r="AA34" s="40">
        <f>ABS((Z34-Y34)/Y34)*100%</f>
        <v>0.29452054794520544</v>
      </c>
      <c r="AB34" s="1">
        <v>0</v>
      </c>
      <c r="AC34" s="1">
        <v>0</v>
      </c>
      <c r="AD34" s="42">
        <v>0</v>
      </c>
      <c r="AE34" s="1" t="s">
        <v>175</v>
      </c>
    </row>
    <row r="35" spans="1:31" x14ac:dyDescent="0.25">
      <c r="A35" s="34">
        <v>45957</v>
      </c>
      <c r="B35" s="21" t="s">
        <v>97</v>
      </c>
      <c r="C35" s="26">
        <v>18</v>
      </c>
      <c r="D35" s="26">
        <v>1.58</v>
      </c>
      <c r="E35" s="26">
        <v>51</v>
      </c>
      <c r="F35" s="18" t="s">
        <v>219</v>
      </c>
      <c r="G35" s="18" t="s">
        <v>210</v>
      </c>
      <c r="H35" s="27" t="s">
        <v>200</v>
      </c>
      <c r="I35" s="25" t="s">
        <v>93</v>
      </c>
      <c r="J35" s="25" t="s">
        <v>93</v>
      </c>
      <c r="K35" s="29">
        <v>38</v>
      </c>
      <c r="L35" s="29">
        <v>30</v>
      </c>
      <c r="M35" s="31">
        <v>0.21049999999999999</v>
      </c>
      <c r="N35" s="29">
        <v>51</v>
      </c>
      <c r="O35" s="29">
        <v>60</v>
      </c>
      <c r="P35" s="31">
        <v>0.17649999999999999</v>
      </c>
      <c r="Q35" s="29">
        <v>20</v>
      </c>
      <c r="R35" s="29">
        <v>20</v>
      </c>
      <c r="S35" s="30">
        <v>0</v>
      </c>
      <c r="T35" s="25" t="s">
        <v>68</v>
      </c>
      <c r="U35" s="25" t="s">
        <v>68</v>
      </c>
      <c r="V35" s="26">
        <v>152</v>
      </c>
      <c r="W35" s="26">
        <v>140</v>
      </c>
      <c r="X35" s="30">
        <f>ABS((W35-V35)/V35)*100%</f>
        <v>7.8947368421052627E-2</v>
      </c>
      <c r="Y35" s="25">
        <v>4.8499999999999996</v>
      </c>
      <c r="Z35" s="25">
        <v>7.05</v>
      </c>
      <c r="AA35" s="40">
        <f>ABS((Z35-Y35)/Y35)*100%</f>
        <v>0.45360824742268047</v>
      </c>
      <c r="AB35" s="1">
        <v>0</v>
      </c>
      <c r="AC35" s="1">
        <v>0</v>
      </c>
      <c r="AD35" s="42">
        <v>0</v>
      </c>
      <c r="AE35" s="1" t="s">
        <v>175</v>
      </c>
    </row>
    <row r="36" spans="1:31" x14ac:dyDescent="0.25">
      <c r="A36" s="34">
        <v>45957</v>
      </c>
      <c r="B36" s="1" t="s">
        <v>155</v>
      </c>
      <c r="C36" s="26">
        <v>19</v>
      </c>
      <c r="D36" s="26">
        <v>1.63</v>
      </c>
      <c r="E36" s="26">
        <v>61</v>
      </c>
      <c r="F36" s="18" t="s">
        <v>219</v>
      </c>
      <c r="G36" s="18" t="s">
        <v>104</v>
      </c>
      <c r="H36" s="25" t="s">
        <v>201</v>
      </c>
      <c r="I36" s="25" t="s">
        <v>80</v>
      </c>
      <c r="J36" s="25" t="s">
        <v>93</v>
      </c>
      <c r="K36" s="29">
        <v>45</v>
      </c>
      <c r="L36" s="29">
        <v>44</v>
      </c>
      <c r="M36" s="30">
        <v>2.2200000000000001E-2</v>
      </c>
      <c r="N36" s="29">
        <v>75</v>
      </c>
      <c r="O36" s="29">
        <v>70</v>
      </c>
      <c r="P36" s="30">
        <v>6.6699999999999995E-2</v>
      </c>
      <c r="Q36" s="32">
        <v>17</v>
      </c>
      <c r="R36" s="32">
        <v>14</v>
      </c>
      <c r="S36" s="31">
        <v>0.17649999999999999</v>
      </c>
      <c r="T36" s="25" t="s">
        <v>187</v>
      </c>
      <c r="U36" s="25" t="s">
        <v>187</v>
      </c>
      <c r="V36" s="26">
        <v>165</v>
      </c>
      <c r="W36" s="26">
        <v>162</v>
      </c>
      <c r="X36" s="30">
        <f>ABS((W36-V36)/V36)*100%</f>
        <v>1.8181818181818181E-2</v>
      </c>
      <c r="Y36" s="26">
        <v>9</v>
      </c>
      <c r="Z36" s="25">
        <v>10.199999999999999</v>
      </c>
      <c r="AA36" s="41">
        <f>ABS((Z36-Y36)/Y36)*100%</f>
        <v>0.13333333333333325</v>
      </c>
      <c r="AB36" s="1">
        <v>0</v>
      </c>
      <c r="AC36" s="1">
        <v>0</v>
      </c>
      <c r="AD36" s="42">
        <v>0</v>
      </c>
      <c r="AE36" s="1" t="s">
        <v>177</v>
      </c>
    </row>
    <row r="37" spans="1:31" x14ac:dyDescent="0.25">
      <c r="A37" s="34">
        <v>45957</v>
      </c>
      <c r="B37" s="1" t="s">
        <v>109</v>
      </c>
      <c r="C37" s="26">
        <v>21</v>
      </c>
      <c r="D37" s="26">
        <v>1.71</v>
      </c>
      <c r="E37" s="26">
        <v>50</v>
      </c>
      <c r="F37" s="18" t="s">
        <v>219</v>
      </c>
      <c r="G37" s="18" t="s">
        <v>90</v>
      </c>
      <c r="H37" s="25" t="s">
        <v>204</v>
      </c>
      <c r="I37" s="25" t="s">
        <v>68</v>
      </c>
      <c r="J37" s="25" t="s">
        <v>205</v>
      </c>
      <c r="K37" s="29">
        <v>38</v>
      </c>
      <c r="L37" s="29">
        <v>38</v>
      </c>
      <c r="M37" s="30">
        <v>0</v>
      </c>
      <c r="N37" s="29">
        <v>132</v>
      </c>
      <c r="O37" s="29">
        <v>94</v>
      </c>
      <c r="P37" s="31">
        <v>0.28789999999999999</v>
      </c>
      <c r="Q37" s="32">
        <v>17</v>
      </c>
      <c r="R37" s="32">
        <v>7</v>
      </c>
      <c r="S37" s="31">
        <v>0.58819999999999995</v>
      </c>
      <c r="T37" s="25" t="s">
        <v>68</v>
      </c>
      <c r="U37" s="25" t="s">
        <v>68</v>
      </c>
      <c r="V37" s="26">
        <v>149</v>
      </c>
      <c r="W37" s="26">
        <v>152</v>
      </c>
      <c r="X37" s="30">
        <f>ABS((W37-V37)/V37)*100%</f>
        <v>2.0134228187919462E-2</v>
      </c>
      <c r="Y37" s="25">
        <v>4.8</v>
      </c>
      <c r="Z37" s="25">
        <v>6.45</v>
      </c>
      <c r="AA37" s="40">
        <f>ABS((Z37-Y37)/Y37)*100%</f>
        <v>0.34375000000000011</v>
      </c>
      <c r="AB37" s="1">
        <v>0</v>
      </c>
      <c r="AC37" s="1">
        <v>0</v>
      </c>
      <c r="AD37" s="42">
        <v>0</v>
      </c>
      <c r="AE37" s="18" t="s">
        <v>175</v>
      </c>
    </row>
    <row r="38" spans="1:31" x14ac:dyDescent="0.25">
      <c r="A38" s="34">
        <v>45957</v>
      </c>
      <c r="B38" s="18" t="s">
        <v>117</v>
      </c>
      <c r="C38" s="26">
        <v>17</v>
      </c>
      <c r="D38" s="26">
        <v>1.61</v>
      </c>
      <c r="E38" s="26">
        <v>0</v>
      </c>
      <c r="F38" s="18" t="s">
        <v>219</v>
      </c>
      <c r="G38" s="18" t="s">
        <v>215</v>
      </c>
      <c r="H38" s="25" t="s">
        <v>207</v>
      </c>
      <c r="I38" s="25" t="s">
        <v>68</v>
      </c>
      <c r="J38" s="25" t="s">
        <v>68</v>
      </c>
      <c r="K38" s="29">
        <v>42</v>
      </c>
      <c r="L38" s="29">
        <v>42</v>
      </c>
      <c r="M38" s="30">
        <v>0</v>
      </c>
      <c r="N38" s="29">
        <v>60</v>
      </c>
      <c r="O38" s="29">
        <v>48</v>
      </c>
      <c r="P38" s="31">
        <v>0.2</v>
      </c>
      <c r="Q38" s="32">
        <v>12</v>
      </c>
      <c r="R38" s="32">
        <v>18</v>
      </c>
      <c r="S38" s="31">
        <v>0.5</v>
      </c>
      <c r="T38" s="25" t="s">
        <v>187</v>
      </c>
      <c r="U38" s="25" t="s">
        <v>187</v>
      </c>
      <c r="V38" s="26">
        <v>142</v>
      </c>
      <c r="W38" s="26">
        <v>143</v>
      </c>
      <c r="X38" s="30">
        <f>ABS((W38-V38)/V38)*100%</f>
        <v>7.0422535211267607E-3</v>
      </c>
      <c r="Y38" s="25">
        <v>7.35</v>
      </c>
      <c r="Z38" s="25">
        <v>7.25</v>
      </c>
      <c r="AA38" s="33">
        <f>ABS((Z38-Y38)/Y38)*100%</f>
        <v>1.3605442176870701E-2</v>
      </c>
      <c r="AB38" s="1">
        <v>0</v>
      </c>
      <c r="AC38" s="1">
        <v>0</v>
      </c>
      <c r="AD38" s="42">
        <v>0</v>
      </c>
      <c r="AE38" s="1" t="s">
        <v>175</v>
      </c>
    </row>
    <row r="39" spans="1:31" x14ac:dyDescent="0.25">
      <c r="A39" s="34">
        <v>45957</v>
      </c>
      <c r="B39" s="1" t="s">
        <v>192</v>
      </c>
      <c r="C39" s="26">
        <v>19</v>
      </c>
      <c r="D39" s="26">
        <v>1.76</v>
      </c>
      <c r="E39" s="26">
        <v>63</v>
      </c>
      <c r="F39" s="18" t="s">
        <v>219</v>
      </c>
      <c r="G39" s="18" t="s">
        <v>131</v>
      </c>
      <c r="H39" s="27" t="s">
        <v>193</v>
      </c>
      <c r="I39" s="25" t="s">
        <v>136</v>
      </c>
      <c r="J39" s="25" t="s">
        <v>80</v>
      </c>
      <c r="K39" s="29">
        <v>39</v>
      </c>
      <c r="L39" s="36">
        <v>20</v>
      </c>
      <c r="M39" s="31">
        <v>0.48720000000000002</v>
      </c>
      <c r="N39" s="37">
        <v>35</v>
      </c>
      <c r="O39" s="37">
        <v>32</v>
      </c>
      <c r="P39" s="30">
        <v>8.5699999999999998E-2</v>
      </c>
      <c r="Q39" s="32">
        <v>10</v>
      </c>
      <c r="R39" s="32">
        <v>14</v>
      </c>
      <c r="S39" s="31">
        <v>0.4</v>
      </c>
      <c r="T39" s="25" t="s">
        <v>187</v>
      </c>
      <c r="U39" s="25" t="s">
        <v>194</v>
      </c>
      <c r="V39" s="26">
        <v>151</v>
      </c>
      <c r="W39" s="26">
        <v>62</v>
      </c>
      <c r="X39" s="31">
        <f>ABS((W39-V39)/V39)*100%</f>
        <v>0.58940397350993379</v>
      </c>
      <c r="Y39" s="25">
        <v>8.3000000000000007</v>
      </c>
      <c r="Z39" s="25">
        <v>5.6</v>
      </c>
      <c r="AA39" s="40">
        <f>ABS((Z39-Y39)/Y39)*100%</f>
        <v>0.32530120481927721</v>
      </c>
      <c r="AB39" s="1">
        <v>0</v>
      </c>
      <c r="AC39" s="1">
        <v>0</v>
      </c>
      <c r="AD39" s="42">
        <v>0</v>
      </c>
      <c r="AE39" s="18" t="s">
        <v>175</v>
      </c>
    </row>
    <row r="40" spans="1:31" x14ac:dyDescent="0.25">
      <c r="A40" s="34">
        <v>45957</v>
      </c>
      <c r="B40" s="1" t="s">
        <v>195</v>
      </c>
      <c r="C40" s="26">
        <v>19</v>
      </c>
      <c r="D40" s="26">
        <v>1.69</v>
      </c>
      <c r="E40" s="26">
        <v>61</v>
      </c>
      <c r="F40" s="18" t="s">
        <v>219</v>
      </c>
      <c r="G40" s="18" t="s">
        <v>85</v>
      </c>
      <c r="H40" s="25" t="s">
        <v>79</v>
      </c>
      <c r="I40" s="25" t="s">
        <v>136</v>
      </c>
      <c r="J40" s="25" t="s">
        <v>68</v>
      </c>
      <c r="K40" s="36">
        <v>53</v>
      </c>
      <c r="L40" s="36">
        <v>51</v>
      </c>
      <c r="M40" s="30">
        <v>3.7699999999999997E-2</v>
      </c>
      <c r="N40" s="29">
        <v>60</v>
      </c>
      <c r="O40" s="29">
        <v>150</v>
      </c>
      <c r="P40" s="31">
        <v>1.5</v>
      </c>
      <c r="Q40" s="29">
        <v>22</v>
      </c>
      <c r="R40" s="32">
        <v>19</v>
      </c>
      <c r="S40" s="39">
        <v>0.13639999999999999</v>
      </c>
      <c r="T40" s="25" t="s">
        <v>187</v>
      </c>
      <c r="U40" s="25" t="s">
        <v>187</v>
      </c>
      <c r="V40" s="26">
        <v>163</v>
      </c>
      <c r="W40" s="26">
        <v>170</v>
      </c>
      <c r="X40" s="30">
        <f>ABS((W40-V40)/V40)*100%</f>
        <v>4.2944785276073622E-2</v>
      </c>
      <c r="Y40" s="25">
        <v>9.8000000000000007</v>
      </c>
      <c r="Z40" s="25">
        <v>9.6</v>
      </c>
      <c r="AA40" s="33">
        <f>ABS((Z40-Y40)/Y40)*100%</f>
        <v>2.0408163265306228E-2</v>
      </c>
      <c r="AB40" s="1">
        <v>0</v>
      </c>
      <c r="AC40" s="1">
        <v>0</v>
      </c>
      <c r="AD40" s="42">
        <v>0</v>
      </c>
      <c r="AE40" s="1" t="s">
        <v>175</v>
      </c>
    </row>
    <row r="41" spans="1:31" x14ac:dyDescent="0.25">
      <c r="A41" s="34">
        <v>45957</v>
      </c>
      <c r="B41" s="1" t="s">
        <v>196</v>
      </c>
      <c r="C41" s="26">
        <v>19</v>
      </c>
      <c r="D41" s="26">
        <v>1.5</v>
      </c>
      <c r="E41" s="26">
        <v>45</v>
      </c>
      <c r="F41" s="18" t="s">
        <v>219</v>
      </c>
      <c r="G41" s="18" t="s">
        <v>131</v>
      </c>
      <c r="H41" s="25" t="s">
        <v>197</v>
      </c>
      <c r="I41" s="25" t="s">
        <v>80</v>
      </c>
      <c r="J41" s="25" t="s">
        <v>80</v>
      </c>
      <c r="K41" s="29">
        <v>39</v>
      </c>
      <c r="L41" s="29">
        <v>35</v>
      </c>
      <c r="M41" s="44">
        <v>0.1026</v>
      </c>
      <c r="N41" s="37">
        <v>26</v>
      </c>
      <c r="O41" s="36">
        <v>24</v>
      </c>
      <c r="P41" s="30">
        <v>7.6899999999999996E-2</v>
      </c>
      <c r="Q41" s="32">
        <v>7</v>
      </c>
      <c r="R41" s="32">
        <v>5</v>
      </c>
      <c r="S41" s="31">
        <v>0.28570000000000001</v>
      </c>
      <c r="T41" s="25" t="s">
        <v>187</v>
      </c>
      <c r="U41" s="25" t="s">
        <v>187</v>
      </c>
      <c r="V41" s="26">
        <v>165</v>
      </c>
      <c r="W41" s="26">
        <v>158</v>
      </c>
      <c r="X41" s="30">
        <f>ABS((W41-V41)/V41)*100%</f>
        <v>4.2424242424242427E-2</v>
      </c>
      <c r="Y41" s="26">
        <v>6</v>
      </c>
      <c r="Z41" s="26">
        <v>8</v>
      </c>
      <c r="AA41" s="40">
        <f>ABS((Z41-Y41)/Y41)*100%</f>
        <v>0.33333333333333331</v>
      </c>
      <c r="AB41" s="1">
        <v>0</v>
      </c>
      <c r="AC41" s="1">
        <v>0</v>
      </c>
      <c r="AD41" s="42">
        <v>0</v>
      </c>
      <c r="AE41" s="1" t="s">
        <v>177</v>
      </c>
    </row>
    <row r="42" spans="1:31" x14ac:dyDescent="0.25">
      <c r="A42" s="34">
        <v>45957</v>
      </c>
      <c r="B42" s="18" t="s">
        <v>185</v>
      </c>
      <c r="C42" s="26">
        <v>22</v>
      </c>
      <c r="D42" s="26">
        <v>1.66</v>
      </c>
      <c r="E42" s="26">
        <v>66</v>
      </c>
      <c r="F42" s="18" t="s">
        <v>219</v>
      </c>
      <c r="G42" s="18" t="s">
        <v>74</v>
      </c>
      <c r="H42" s="27" t="s">
        <v>186</v>
      </c>
      <c r="I42" s="25" t="s">
        <v>68</v>
      </c>
      <c r="J42" s="25" t="s">
        <v>68</v>
      </c>
      <c r="K42" s="29">
        <v>40</v>
      </c>
      <c r="L42" s="29">
        <v>35</v>
      </c>
      <c r="M42" s="45">
        <v>0.125</v>
      </c>
      <c r="N42" s="29">
        <v>60</v>
      </c>
      <c r="O42" s="29">
        <v>60</v>
      </c>
      <c r="P42" s="30">
        <v>0</v>
      </c>
      <c r="Q42" s="29">
        <v>25</v>
      </c>
      <c r="R42" s="29">
        <v>25</v>
      </c>
      <c r="S42" s="30">
        <v>0</v>
      </c>
      <c r="T42" s="25" t="s">
        <v>68</v>
      </c>
      <c r="U42" s="25" t="s">
        <v>187</v>
      </c>
      <c r="V42" s="26">
        <v>0</v>
      </c>
      <c r="W42" s="26">
        <v>148</v>
      </c>
      <c r="X42" s="43" t="e">
        <f>ABS((W42-V42)/V42)*100%</f>
        <v>#DIV/0!</v>
      </c>
      <c r="Y42" s="25">
        <v>5.25</v>
      </c>
      <c r="Z42" s="25">
        <v>7.05</v>
      </c>
      <c r="AA42" s="40">
        <f>ABS((Z42-Y42)/Y42)*100%</f>
        <v>0.3428571428571428</v>
      </c>
      <c r="AB42" s="1">
        <v>0</v>
      </c>
      <c r="AC42" s="1">
        <v>0</v>
      </c>
      <c r="AD42" s="42">
        <v>0</v>
      </c>
      <c r="AE42" s="18" t="s">
        <v>175</v>
      </c>
    </row>
    <row r="43" spans="1:31" x14ac:dyDescent="0.25">
      <c r="A43" s="16">
        <v>46034</v>
      </c>
      <c r="B43" s="18" t="s">
        <v>65</v>
      </c>
      <c r="C43" s="17">
        <v>20</v>
      </c>
      <c r="D43" s="18">
        <v>1.63</v>
      </c>
      <c r="E43" s="17">
        <v>0</v>
      </c>
      <c r="F43" s="18" t="s">
        <v>66</v>
      </c>
      <c r="G43" s="18" t="s">
        <v>67</v>
      </c>
      <c r="H43" s="18" t="s">
        <v>79</v>
      </c>
      <c r="I43" s="18" t="s">
        <v>68</v>
      </c>
      <c r="J43" s="18" t="s">
        <v>68</v>
      </c>
      <c r="K43" s="12">
        <v>20</v>
      </c>
      <c r="L43" s="12">
        <v>24</v>
      </c>
      <c r="M43" s="13">
        <f>ABS((L43-K43)/K43)*100%</f>
        <v>0.2</v>
      </c>
      <c r="N43" s="12">
        <v>74</v>
      </c>
      <c r="O43" s="12">
        <v>62</v>
      </c>
      <c r="P43" s="13">
        <f>ABS((O43-N43)/N43)*100%</f>
        <v>0.16216216216216217</v>
      </c>
      <c r="Q43" s="12">
        <v>29</v>
      </c>
      <c r="R43" s="12">
        <v>25</v>
      </c>
      <c r="S43" s="13">
        <f>ABS((R43-Q43)/Q43)*100%</f>
        <v>0.13793103448275862</v>
      </c>
      <c r="T43" s="18" t="s">
        <v>69</v>
      </c>
      <c r="U43" s="18" t="s">
        <v>69</v>
      </c>
      <c r="V43" s="17">
        <v>165</v>
      </c>
      <c r="W43" s="17">
        <v>157</v>
      </c>
      <c r="X43" s="13">
        <f>ABS((W43-V43)/V43)*100%</f>
        <v>4.8484848484848485E-2</v>
      </c>
      <c r="Y43" s="17">
        <v>18.2</v>
      </c>
      <c r="Z43" s="17">
        <v>18.2</v>
      </c>
      <c r="AA43" s="14">
        <f>ABS((Z43-Y43)/Y43)*100%</f>
        <v>0</v>
      </c>
      <c r="AB43" s="17">
        <v>14.8</v>
      </c>
      <c r="AC43" s="17">
        <v>12.55</v>
      </c>
      <c r="AD43" s="6">
        <f>ABS((AC43-AB43)/AB43)*100%</f>
        <v>0.15202702702702703</v>
      </c>
      <c r="AE43" s="18" t="s">
        <v>175</v>
      </c>
    </row>
    <row r="44" spans="1:31" x14ac:dyDescent="0.25">
      <c r="A44" s="16">
        <v>46034</v>
      </c>
      <c r="B44" s="1" t="s">
        <v>146</v>
      </c>
      <c r="C44" s="17">
        <v>19</v>
      </c>
      <c r="D44" s="18">
        <v>1.73</v>
      </c>
      <c r="E44" s="17">
        <v>60</v>
      </c>
      <c r="F44" s="18" t="s">
        <v>66</v>
      </c>
      <c r="G44" s="18" t="s">
        <v>70</v>
      </c>
      <c r="H44" s="18" t="s">
        <v>26</v>
      </c>
      <c r="I44" s="18" t="s">
        <v>68</v>
      </c>
      <c r="J44" s="18" t="s">
        <v>68</v>
      </c>
      <c r="K44" s="12">
        <v>45</v>
      </c>
      <c r="L44" s="12">
        <v>32</v>
      </c>
      <c r="M44" s="13">
        <f>ABS((L44-K44)/K44)*100%</f>
        <v>0.28888888888888886</v>
      </c>
      <c r="N44" s="12">
        <v>79</v>
      </c>
      <c r="O44" s="12">
        <v>81</v>
      </c>
      <c r="P44" s="13">
        <f>ABS((O44-N44)/N44)*100%</f>
        <v>2.5316455696202531E-2</v>
      </c>
      <c r="Q44" s="12">
        <v>30</v>
      </c>
      <c r="R44" s="12">
        <v>49</v>
      </c>
      <c r="S44" s="13">
        <f>ABS((R44-Q44)/Q44)*100%</f>
        <v>0.6333333333333333</v>
      </c>
      <c r="T44" s="18" t="s">
        <v>71</v>
      </c>
      <c r="U44" s="18" t="s">
        <v>72</v>
      </c>
      <c r="V44" s="17">
        <v>196</v>
      </c>
      <c r="W44" s="17">
        <v>210</v>
      </c>
      <c r="X44" s="13">
        <f>ABS((W44-V44)/V44)*100%</f>
        <v>7.1428571428571425E-2</v>
      </c>
      <c r="Y44" s="17">
        <v>25.4</v>
      </c>
      <c r="Z44" s="17">
        <v>20</v>
      </c>
      <c r="AA44" s="14">
        <f>ABS((Z44-Y44)/Y44)*100%</f>
        <v>0.21259842519685035</v>
      </c>
      <c r="AB44" s="17">
        <v>19.75</v>
      </c>
      <c r="AC44" s="17">
        <v>20.05</v>
      </c>
      <c r="AD44" s="6">
        <f>ABS((AC44-AB44)/AB44)*100%</f>
        <v>1.5189873417721555E-2</v>
      </c>
      <c r="AE44" s="18" t="s">
        <v>175</v>
      </c>
    </row>
    <row r="45" spans="1:31" x14ac:dyDescent="0.25">
      <c r="A45" s="16">
        <v>46034</v>
      </c>
      <c r="B45" s="18" t="s">
        <v>73</v>
      </c>
      <c r="C45" s="17">
        <v>18</v>
      </c>
      <c r="D45" s="18">
        <v>1.59</v>
      </c>
      <c r="E45" s="17">
        <v>50</v>
      </c>
      <c r="F45" s="18" t="s">
        <v>66</v>
      </c>
      <c r="G45" s="18" t="s">
        <v>74</v>
      </c>
      <c r="H45" s="18" t="s">
        <v>75</v>
      </c>
      <c r="I45" s="18" t="s">
        <v>76</v>
      </c>
      <c r="J45" s="18" t="s">
        <v>76</v>
      </c>
      <c r="K45" s="12">
        <v>25</v>
      </c>
      <c r="L45" s="12">
        <v>33</v>
      </c>
      <c r="M45" s="13">
        <f>ABS((L45-K45)/K45)*100%</f>
        <v>0.32</v>
      </c>
      <c r="N45" s="12">
        <v>51</v>
      </c>
      <c r="O45" s="12">
        <v>33</v>
      </c>
      <c r="P45" s="13">
        <f>ABS((O45-N45)/N45)*100%</f>
        <v>0.35294117647058826</v>
      </c>
      <c r="Q45" s="12">
        <v>16</v>
      </c>
      <c r="R45" s="12">
        <v>17</v>
      </c>
      <c r="S45" s="13">
        <f>ABS((R45-Q45)/Q45)*100%</f>
        <v>6.25E-2</v>
      </c>
      <c r="T45" s="18" t="s">
        <v>69</v>
      </c>
      <c r="U45" s="18" t="s">
        <v>69</v>
      </c>
      <c r="V45" s="17">
        <v>163</v>
      </c>
      <c r="W45" s="17">
        <v>148</v>
      </c>
      <c r="X45" s="13">
        <f>ABS((W45-V45)/V45)*100%</f>
        <v>9.202453987730061E-2</v>
      </c>
      <c r="Y45" s="17">
        <v>23.35</v>
      </c>
      <c r="Z45" s="17">
        <v>20.45</v>
      </c>
      <c r="AA45" s="14">
        <f>ABS((Z45-Y45)/Y45)*100%</f>
        <v>0.1241970021413277</v>
      </c>
      <c r="AB45" s="17">
        <v>13.85</v>
      </c>
      <c r="AC45" s="17">
        <v>14.7</v>
      </c>
      <c r="AD45" s="6">
        <f>ABS((AC45-AB45)/AB45)*100%</f>
        <v>6.1371841155234634E-2</v>
      </c>
      <c r="AE45" s="18" t="s">
        <v>175</v>
      </c>
    </row>
    <row r="46" spans="1:31" x14ac:dyDescent="0.25">
      <c r="A46" s="16">
        <v>46034</v>
      </c>
      <c r="B46" s="18" t="s">
        <v>77</v>
      </c>
      <c r="C46" s="17">
        <v>18</v>
      </c>
      <c r="D46" s="18">
        <v>1.62</v>
      </c>
      <c r="E46" s="17">
        <v>0</v>
      </c>
      <c r="F46" s="18" t="s">
        <v>66</v>
      </c>
      <c r="G46" s="18" t="s">
        <v>78</v>
      </c>
      <c r="H46" s="1" t="s">
        <v>79</v>
      </c>
      <c r="I46" s="18" t="s">
        <v>80</v>
      </c>
      <c r="J46" s="18" t="s">
        <v>80</v>
      </c>
      <c r="K46" s="12">
        <v>63</v>
      </c>
      <c r="L46" s="12">
        <v>56</v>
      </c>
      <c r="M46" s="13">
        <f>ABS((L46-K46)/K46)*100%</f>
        <v>0.1111111111111111</v>
      </c>
      <c r="N46" s="12">
        <v>86</v>
      </c>
      <c r="O46" s="12">
        <v>90</v>
      </c>
      <c r="P46" s="13">
        <f>ABS((O46-N46)/N46)*100%</f>
        <v>4.6511627906976744E-2</v>
      </c>
      <c r="Q46" s="12">
        <v>30</v>
      </c>
      <c r="R46" s="12">
        <v>32</v>
      </c>
      <c r="S46" s="13">
        <f>ABS((R46-Q46)/Q46)*100%</f>
        <v>6.6666666666666666E-2</v>
      </c>
      <c r="T46" s="18" t="s">
        <v>81</v>
      </c>
      <c r="U46" s="18" t="s">
        <v>82</v>
      </c>
      <c r="V46" s="17">
        <v>178</v>
      </c>
      <c r="W46" s="17">
        <v>179</v>
      </c>
      <c r="X46" s="13">
        <f>ABS((W46-V46)/V46)*100%</f>
        <v>5.6179775280898875E-3</v>
      </c>
      <c r="Y46" s="17">
        <v>26.85</v>
      </c>
      <c r="Z46" s="17">
        <v>17.649999999999999</v>
      </c>
      <c r="AA46" s="14">
        <f>ABS((Z46-Y46)/Y46)*100%</f>
        <v>0.34264432029795167</v>
      </c>
      <c r="AB46" s="17">
        <v>19.649999999999999</v>
      </c>
      <c r="AC46" s="17">
        <v>15.5</v>
      </c>
      <c r="AD46" s="6">
        <f>ABS((AC46-AB46)/AB46)*100%</f>
        <v>0.21119592875318061</v>
      </c>
      <c r="AE46" s="18" t="s">
        <v>175</v>
      </c>
    </row>
    <row r="47" spans="1:31" x14ac:dyDescent="0.25">
      <c r="A47" s="16">
        <v>46034</v>
      </c>
      <c r="B47" s="18" t="s">
        <v>83</v>
      </c>
      <c r="C47" s="17">
        <v>18</v>
      </c>
      <c r="D47" s="18">
        <v>1.7</v>
      </c>
      <c r="E47" s="17">
        <v>0</v>
      </c>
      <c r="F47" s="18" t="s">
        <v>66</v>
      </c>
      <c r="G47" s="18" t="s">
        <v>78</v>
      </c>
      <c r="H47" s="1" t="s">
        <v>79</v>
      </c>
      <c r="I47" s="18" t="s">
        <v>80</v>
      </c>
      <c r="J47" s="18" t="s">
        <v>80</v>
      </c>
      <c r="K47" s="12">
        <v>32</v>
      </c>
      <c r="L47" s="12">
        <v>34</v>
      </c>
      <c r="M47" s="13">
        <f>ABS((L47-K47)/K47)*100%</f>
        <v>6.25E-2</v>
      </c>
      <c r="N47" s="12">
        <v>147</v>
      </c>
      <c r="O47" s="12">
        <v>131</v>
      </c>
      <c r="P47" s="13">
        <f>ABS((O47-N47)/N47)*100%</f>
        <v>0.10884353741496598</v>
      </c>
      <c r="Q47" s="12">
        <v>35</v>
      </c>
      <c r="R47" s="12">
        <v>36</v>
      </c>
      <c r="S47" s="13">
        <f>ABS((R47-Q47)/Q47)*100%</f>
        <v>2.8571428571428571E-2</v>
      </c>
      <c r="T47" s="18" t="s">
        <v>81</v>
      </c>
      <c r="U47" s="18" t="s">
        <v>82</v>
      </c>
      <c r="V47" s="17">
        <v>166</v>
      </c>
      <c r="W47" s="17">
        <v>169</v>
      </c>
      <c r="X47" s="13">
        <f>ABS((W47-V47)/V47)*100%</f>
        <v>1.8072289156626505E-2</v>
      </c>
      <c r="Y47" s="17">
        <v>26.3</v>
      </c>
      <c r="Z47" s="17">
        <v>22.75</v>
      </c>
      <c r="AA47" s="14">
        <f>ABS((Z47-Y47)/Y47)*100%</f>
        <v>0.13498098859315591</v>
      </c>
      <c r="AB47" s="17">
        <v>15.4</v>
      </c>
      <c r="AC47" s="17">
        <v>13.5</v>
      </c>
      <c r="AD47" s="6">
        <f>ABS((AC47-AB47)/AB47)*100%</f>
        <v>0.12337662337662339</v>
      </c>
      <c r="AE47" s="18" t="s">
        <v>175</v>
      </c>
    </row>
    <row r="48" spans="1:31" x14ac:dyDescent="0.25">
      <c r="A48" s="16">
        <v>46034</v>
      </c>
      <c r="B48" s="18" t="s">
        <v>84</v>
      </c>
      <c r="C48" s="17">
        <v>18</v>
      </c>
      <c r="D48" s="18">
        <v>1.7</v>
      </c>
      <c r="E48" s="17">
        <v>68</v>
      </c>
      <c r="F48" s="18" t="s">
        <v>66</v>
      </c>
      <c r="G48" s="18" t="s">
        <v>85</v>
      </c>
      <c r="H48" s="1" t="s">
        <v>79</v>
      </c>
      <c r="I48" s="18" t="s">
        <v>86</v>
      </c>
      <c r="J48" s="18" t="s">
        <v>80</v>
      </c>
      <c r="K48" s="12">
        <v>42</v>
      </c>
      <c r="L48" s="12">
        <v>41</v>
      </c>
      <c r="M48" s="13">
        <f>ABS((L48-K48)/K48)*100%</f>
        <v>2.3809523809523808E-2</v>
      </c>
      <c r="N48" s="12">
        <v>50</v>
      </c>
      <c r="O48" s="12">
        <v>58</v>
      </c>
      <c r="P48" s="13">
        <f>ABS((O48-N48)/N48)*100%</f>
        <v>0.16</v>
      </c>
      <c r="Q48" s="12">
        <v>29</v>
      </c>
      <c r="R48" s="12">
        <v>30</v>
      </c>
      <c r="S48" s="13">
        <f>ABS((R48-Q48)/Q48)*100%</f>
        <v>3.4482758620689655E-2</v>
      </c>
      <c r="T48" s="18" t="s">
        <v>87</v>
      </c>
      <c r="U48" s="18" t="s">
        <v>88</v>
      </c>
      <c r="V48" s="17">
        <v>181</v>
      </c>
      <c r="W48" s="17">
        <v>174</v>
      </c>
      <c r="X48" s="13">
        <f>ABS((W48-V48)/V48)*100%</f>
        <v>3.8674033149171269E-2</v>
      </c>
      <c r="Y48" s="17">
        <v>27.9</v>
      </c>
      <c r="Z48" s="17">
        <v>33.5</v>
      </c>
      <c r="AA48" s="14">
        <f>ABS((Z48-Y48)/Y48)*100%</f>
        <v>0.20071684587813626</v>
      </c>
      <c r="AB48" s="17">
        <v>19.8</v>
      </c>
      <c r="AC48" s="17">
        <v>13.95</v>
      </c>
      <c r="AD48" s="6">
        <f>ABS((AC48-AB48)/AB48)*100%</f>
        <v>0.29545454545454553</v>
      </c>
      <c r="AE48" s="18" t="s">
        <v>175</v>
      </c>
    </row>
    <row r="49" spans="1:31" x14ac:dyDescent="0.25">
      <c r="A49" s="16">
        <v>46034</v>
      </c>
      <c r="B49" s="18" t="s">
        <v>89</v>
      </c>
      <c r="C49" s="17">
        <v>24</v>
      </c>
      <c r="D49" s="18">
        <v>1.59</v>
      </c>
      <c r="E49" s="17">
        <v>61</v>
      </c>
      <c r="F49" s="18" t="s">
        <v>66</v>
      </c>
      <c r="G49" s="18" t="s">
        <v>90</v>
      </c>
      <c r="H49" s="18" t="s">
        <v>91</v>
      </c>
      <c r="I49" s="18" t="s">
        <v>68</v>
      </c>
      <c r="J49" s="18" t="s">
        <v>68</v>
      </c>
      <c r="K49" s="12">
        <v>44</v>
      </c>
      <c r="L49" s="12">
        <v>35</v>
      </c>
      <c r="M49" s="13">
        <f>ABS((L49-K49)/K49)*100%</f>
        <v>0.20454545454545456</v>
      </c>
      <c r="N49" s="12">
        <v>75</v>
      </c>
      <c r="O49" s="12">
        <v>89</v>
      </c>
      <c r="P49" s="13">
        <f>ABS((O49-N49)/N49)*100%</f>
        <v>0.18666666666666668</v>
      </c>
      <c r="Q49" s="12">
        <v>30</v>
      </c>
      <c r="R49" s="12">
        <v>30</v>
      </c>
      <c r="S49" s="13">
        <f>ABS((R49-Q49)/Q49)*100%</f>
        <v>0</v>
      </c>
      <c r="T49" s="18" t="s">
        <v>69</v>
      </c>
      <c r="U49" s="18" t="s">
        <v>69</v>
      </c>
      <c r="V49" s="17">
        <v>157</v>
      </c>
      <c r="W49" s="17">
        <v>161</v>
      </c>
      <c r="X49" s="13">
        <f>ABS((W49-V49)/V49)*100%</f>
        <v>2.5477707006369428E-2</v>
      </c>
      <c r="Y49" s="17">
        <v>22.45</v>
      </c>
      <c r="Z49" s="17">
        <v>23</v>
      </c>
      <c r="AA49" s="14">
        <f>ABS((Z49-Y49)/Y49)*100%</f>
        <v>2.4498886414253931E-2</v>
      </c>
      <c r="AB49" s="17">
        <v>17.8</v>
      </c>
      <c r="AC49" s="17">
        <v>14.9</v>
      </c>
      <c r="AD49" s="6">
        <f>ABS((AC49-AB49)/AB49)*100%</f>
        <v>0.16292134831460675</v>
      </c>
      <c r="AE49" s="18" t="s">
        <v>176</v>
      </c>
    </row>
    <row r="50" spans="1:31" x14ac:dyDescent="0.25">
      <c r="A50" s="16">
        <v>46034</v>
      </c>
      <c r="B50" s="18" t="s">
        <v>92</v>
      </c>
      <c r="C50" s="17">
        <v>20</v>
      </c>
      <c r="D50" s="18">
        <v>1.73</v>
      </c>
      <c r="E50" s="17">
        <v>64</v>
      </c>
      <c r="F50" s="18" t="s">
        <v>66</v>
      </c>
      <c r="G50" s="18" t="s">
        <v>85</v>
      </c>
      <c r="H50" s="18" t="s">
        <v>25</v>
      </c>
      <c r="I50" s="18" t="s">
        <v>93</v>
      </c>
      <c r="J50" s="18" t="s">
        <v>94</v>
      </c>
      <c r="K50" s="12">
        <v>47</v>
      </c>
      <c r="L50" s="12">
        <v>44</v>
      </c>
      <c r="M50" s="13">
        <f>ABS((L50-K50)/K50)*100%</f>
        <v>6.3829787234042548E-2</v>
      </c>
      <c r="N50" s="12">
        <v>78</v>
      </c>
      <c r="O50" s="12">
        <v>75</v>
      </c>
      <c r="P50" s="13">
        <f>ABS((O50-N50)/N50)*100%</f>
        <v>3.8461538461538464E-2</v>
      </c>
      <c r="Q50" s="12">
        <v>23</v>
      </c>
      <c r="R50" s="12">
        <v>27</v>
      </c>
      <c r="S50" s="13">
        <f>ABS((R50-Q50)/Q50)*100%</f>
        <v>0.17391304347826086</v>
      </c>
      <c r="T50" s="18" t="s">
        <v>87</v>
      </c>
      <c r="U50" s="18" t="s">
        <v>69</v>
      </c>
      <c r="V50" s="17">
        <v>153</v>
      </c>
      <c r="W50" s="17">
        <v>160</v>
      </c>
      <c r="X50" s="13">
        <f>ABS((W50-V50)/V50)*100%</f>
        <v>4.5751633986928102E-2</v>
      </c>
      <c r="Y50" s="17">
        <v>22.6</v>
      </c>
      <c r="Z50" s="17">
        <v>23.85</v>
      </c>
      <c r="AA50" s="14">
        <f>ABS((Z50-Y50)/Y50)*100%</f>
        <v>5.5309734513274332E-2</v>
      </c>
      <c r="AB50" s="17">
        <v>19.95</v>
      </c>
      <c r="AC50" s="17">
        <v>16.2</v>
      </c>
      <c r="AD50" s="6">
        <f>ABS((AC50-AB50)/AB50)*100%</f>
        <v>0.18796992481203009</v>
      </c>
      <c r="AE50" s="18" t="s">
        <v>175</v>
      </c>
    </row>
    <row r="51" spans="1:31" x14ac:dyDescent="0.25">
      <c r="A51" s="16">
        <v>46034</v>
      </c>
      <c r="B51" s="18" t="s">
        <v>95</v>
      </c>
      <c r="C51" s="17">
        <v>19</v>
      </c>
      <c r="D51" s="18">
        <v>1.55</v>
      </c>
      <c r="E51" s="17">
        <v>60</v>
      </c>
      <c r="F51" s="18" t="s">
        <v>66</v>
      </c>
      <c r="G51" s="18" t="s">
        <v>67</v>
      </c>
      <c r="H51" s="18" t="s">
        <v>96</v>
      </c>
      <c r="I51" s="18" t="s">
        <v>68</v>
      </c>
      <c r="J51" s="18" t="s">
        <v>68</v>
      </c>
      <c r="K51" s="12">
        <v>38</v>
      </c>
      <c r="L51" s="12">
        <v>36</v>
      </c>
      <c r="M51" s="13">
        <f>ABS((L51-K51)/K51)*100%</f>
        <v>5.2631578947368418E-2</v>
      </c>
      <c r="N51" s="12">
        <v>61</v>
      </c>
      <c r="O51" s="12">
        <v>66</v>
      </c>
      <c r="P51" s="13">
        <f>ABS((O51-N51)/N51)*100%</f>
        <v>8.1967213114754092E-2</v>
      </c>
      <c r="Q51" s="12">
        <v>30</v>
      </c>
      <c r="R51" s="12">
        <v>28</v>
      </c>
      <c r="S51" s="13">
        <f>ABS((R51-Q51)/Q51)*100%</f>
        <v>6.6666666666666666E-2</v>
      </c>
      <c r="T51" s="18" t="s">
        <v>68</v>
      </c>
      <c r="U51" s="18" t="s">
        <v>69</v>
      </c>
      <c r="V51" s="17">
        <v>161</v>
      </c>
      <c r="W51" s="17">
        <v>158</v>
      </c>
      <c r="X51" s="13">
        <f>ABS((W51-V51)/V51)*100%</f>
        <v>1.8633540372670808E-2</v>
      </c>
      <c r="Y51" s="17">
        <v>25.65</v>
      </c>
      <c r="Z51" s="17">
        <v>27.9</v>
      </c>
      <c r="AA51" s="14">
        <f>ABS((Z51-Y51)/Y51)*100%</f>
        <v>8.7719298245614044E-2</v>
      </c>
      <c r="AB51" s="17">
        <v>19.149999999999999</v>
      </c>
      <c r="AC51" s="17">
        <v>18.149999999999999</v>
      </c>
      <c r="AD51" s="6">
        <f>ABS((AC51-AB51)/AB51)*100%</f>
        <v>5.2219321148825069E-2</v>
      </c>
      <c r="AE51" s="18" t="s">
        <v>175</v>
      </c>
    </row>
    <row r="52" spans="1:31" x14ac:dyDescent="0.25">
      <c r="A52" s="16">
        <v>46034</v>
      </c>
      <c r="B52" s="18" t="s">
        <v>97</v>
      </c>
      <c r="C52" s="17">
        <v>18</v>
      </c>
      <c r="D52" s="18">
        <v>1.57</v>
      </c>
      <c r="E52" s="17">
        <v>51</v>
      </c>
      <c r="F52" s="18" t="s">
        <v>66</v>
      </c>
      <c r="G52" s="18" t="s">
        <v>90</v>
      </c>
      <c r="H52" s="18" t="s">
        <v>98</v>
      </c>
      <c r="I52" s="18" t="s">
        <v>80</v>
      </c>
      <c r="J52" s="18" t="s">
        <v>99</v>
      </c>
      <c r="K52" s="12">
        <v>40</v>
      </c>
      <c r="L52" s="12">
        <v>32</v>
      </c>
      <c r="M52" s="13">
        <f>ABS((L52-K52)/K52)*100%</f>
        <v>0.2</v>
      </c>
      <c r="N52" s="12">
        <v>67</v>
      </c>
      <c r="O52" s="12">
        <v>63</v>
      </c>
      <c r="P52" s="13">
        <f>ABS((O52-N52)/N52)*100%</f>
        <v>5.9701492537313432E-2</v>
      </c>
      <c r="Q52" s="12">
        <v>30</v>
      </c>
      <c r="R52" s="12">
        <v>31</v>
      </c>
      <c r="S52" s="13">
        <f>ABS((R52-Q52)/Q52)*100%</f>
        <v>3.3333333333333333E-2</v>
      </c>
      <c r="T52" s="18" t="s">
        <v>87</v>
      </c>
      <c r="U52" s="18" t="s">
        <v>82</v>
      </c>
      <c r="V52" s="17">
        <v>172</v>
      </c>
      <c r="W52" s="17">
        <v>176</v>
      </c>
      <c r="X52" s="13">
        <f>ABS((W52-V52)/V52)*100%</f>
        <v>2.3255813953488372E-2</v>
      </c>
      <c r="Y52" s="17">
        <v>29.55</v>
      </c>
      <c r="Z52" s="17">
        <v>38.299999999999997</v>
      </c>
      <c r="AA52" s="14">
        <f>ABS((Z52-Y52)/Y52)*100%</f>
        <v>0.29610829103214875</v>
      </c>
      <c r="AB52" s="17">
        <v>16.25</v>
      </c>
      <c r="AC52" s="17">
        <v>17.25</v>
      </c>
      <c r="AD52" s="6">
        <f>ABS((AC52-AB52)/AB52)*100%</f>
        <v>6.1538461538461542E-2</v>
      </c>
      <c r="AE52" s="18" t="s">
        <v>175</v>
      </c>
    </row>
    <row r="53" spans="1:31" x14ac:dyDescent="0.25">
      <c r="A53" s="16">
        <v>46034</v>
      </c>
      <c r="B53" s="1" t="s">
        <v>155</v>
      </c>
      <c r="C53" s="17">
        <v>19</v>
      </c>
      <c r="D53" s="18">
        <v>1.63</v>
      </c>
      <c r="E53" s="17">
        <v>67</v>
      </c>
      <c r="F53" s="18" t="s">
        <v>66</v>
      </c>
      <c r="G53" s="18" t="s">
        <v>74</v>
      </c>
      <c r="H53" s="18" t="s">
        <v>100</v>
      </c>
      <c r="I53" s="18" t="s">
        <v>80</v>
      </c>
      <c r="J53" s="18" t="s">
        <v>94</v>
      </c>
      <c r="K53" s="12">
        <v>35</v>
      </c>
      <c r="L53" s="12">
        <v>32</v>
      </c>
      <c r="M53" s="13">
        <f>ABS((L53-K53)/K53)*100%</f>
        <v>8.5714285714285715E-2</v>
      </c>
      <c r="N53" s="12">
        <v>60</v>
      </c>
      <c r="O53" s="12">
        <v>81</v>
      </c>
      <c r="P53" s="13">
        <f>ABS((O53-N53)/N53)*100%</f>
        <v>0.35</v>
      </c>
      <c r="Q53" s="12">
        <v>20</v>
      </c>
      <c r="R53" s="12">
        <v>20</v>
      </c>
      <c r="S53" s="13">
        <f>ABS((R53-Q53)/Q53)*100%</f>
        <v>0</v>
      </c>
      <c r="T53" s="18" t="s">
        <v>69</v>
      </c>
      <c r="U53" s="18" t="s">
        <v>69</v>
      </c>
      <c r="V53" s="17">
        <v>183</v>
      </c>
      <c r="W53" s="17">
        <v>188</v>
      </c>
      <c r="X53" s="13">
        <f>ABS((W53-V53)/V53)*100%</f>
        <v>2.7322404371584699E-2</v>
      </c>
      <c r="Y53" s="17">
        <v>20.85</v>
      </c>
      <c r="Z53" s="17">
        <v>18.45</v>
      </c>
      <c r="AA53" s="14">
        <f>ABS((Z53-Y53)/Y53)*100%</f>
        <v>0.11510791366906484</v>
      </c>
      <c r="AB53" s="17">
        <v>19.75</v>
      </c>
      <c r="AC53" s="17">
        <v>17.25</v>
      </c>
      <c r="AD53" s="6">
        <f>ABS((AC53-AB53)/AB53)*100%</f>
        <v>0.12658227848101267</v>
      </c>
      <c r="AE53" s="18" t="s">
        <v>177</v>
      </c>
    </row>
    <row r="54" spans="1:31" x14ac:dyDescent="0.25">
      <c r="A54" s="16">
        <v>46034</v>
      </c>
      <c r="B54" s="18" t="s">
        <v>101</v>
      </c>
      <c r="C54" s="17">
        <v>19</v>
      </c>
      <c r="D54" s="18">
        <v>1.58</v>
      </c>
      <c r="E54" s="17">
        <v>51</v>
      </c>
      <c r="F54" s="18" t="s">
        <v>66</v>
      </c>
      <c r="G54" s="18" t="s">
        <v>70</v>
      </c>
      <c r="H54" s="1" t="s">
        <v>79</v>
      </c>
      <c r="I54" s="18" t="s">
        <v>102</v>
      </c>
      <c r="J54" s="18" t="s">
        <v>99</v>
      </c>
      <c r="K54" s="12">
        <v>48</v>
      </c>
      <c r="L54" s="12">
        <v>41</v>
      </c>
      <c r="M54" s="13">
        <f>ABS((L54-K54)/K54)*100%</f>
        <v>0.14583333333333334</v>
      </c>
      <c r="N54" s="12">
        <v>121</v>
      </c>
      <c r="O54" s="12">
        <v>117</v>
      </c>
      <c r="P54" s="13">
        <f>ABS((O54-N54)/N54)*100%</f>
        <v>3.3057851239669422E-2</v>
      </c>
      <c r="Q54" s="12">
        <v>29</v>
      </c>
      <c r="R54" s="12">
        <v>18</v>
      </c>
      <c r="S54" s="13">
        <f>ABS((R54-Q54)/Q54)*100%</f>
        <v>0.37931034482758619</v>
      </c>
      <c r="T54" s="18" t="s">
        <v>81</v>
      </c>
      <c r="U54" s="18" t="s">
        <v>81</v>
      </c>
      <c r="V54" s="17">
        <v>165</v>
      </c>
      <c r="W54" s="17">
        <v>159</v>
      </c>
      <c r="X54" s="13">
        <f>ABS((W54-V54)/V54)*100%</f>
        <v>3.6363636363636362E-2</v>
      </c>
      <c r="Y54" s="17">
        <v>21</v>
      </c>
      <c r="Z54" s="17">
        <v>21</v>
      </c>
      <c r="AA54" s="14">
        <f>ABS((Z54-Y54)/Y54)*100%</f>
        <v>0</v>
      </c>
      <c r="AB54" s="17">
        <v>13.5</v>
      </c>
      <c r="AC54" s="17">
        <v>9.1</v>
      </c>
      <c r="AD54" s="6">
        <f>ABS((AC54-AB54)/AB54)*100%</f>
        <v>0.32592592592592595</v>
      </c>
      <c r="AE54" s="18" t="s">
        <v>175</v>
      </c>
    </row>
    <row r="55" spans="1:31" x14ac:dyDescent="0.25">
      <c r="A55" s="16">
        <v>46034</v>
      </c>
      <c r="B55" s="18" t="s">
        <v>103</v>
      </c>
      <c r="C55" s="17">
        <v>20</v>
      </c>
      <c r="D55" s="18">
        <v>1.53</v>
      </c>
      <c r="E55" s="17">
        <v>48</v>
      </c>
      <c r="F55" s="18" t="s">
        <v>66</v>
      </c>
      <c r="G55" s="18" t="s">
        <v>104</v>
      </c>
      <c r="H55" s="18" t="s">
        <v>105</v>
      </c>
      <c r="I55" s="18" t="s">
        <v>68</v>
      </c>
      <c r="J55" s="18" t="s">
        <v>68</v>
      </c>
      <c r="K55" s="12">
        <v>41</v>
      </c>
      <c r="L55" s="12">
        <v>45</v>
      </c>
      <c r="M55" s="13">
        <f>ABS((L55-K55)/K55)*100%</f>
        <v>9.7560975609756101E-2</v>
      </c>
      <c r="N55" s="12">
        <v>64</v>
      </c>
      <c r="O55" s="12">
        <v>55</v>
      </c>
      <c r="P55" s="13">
        <f>ABS((O55-N55)/N55)*100%</f>
        <v>0.140625</v>
      </c>
      <c r="Q55" s="12">
        <v>30</v>
      </c>
      <c r="R55" s="12">
        <v>24</v>
      </c>
      <c r="S55" s="13">
        <f>ABS((R55-Q55)/Q55)*100%</f>
        <v>0.2</v>
      </c>
      <c r="T55" s="18" t="s">
        <v>106</v>
      </c>
      <c r="U55" s="18" t="s">
        <v>106</v>
      </c>
      <c r="V55" s="17">
        <v>168</v>
      </c>
      <c r="W55" s="17">
        <v>187</v>
      </c>
      <c r="X55" s="13">
        <f>ABS((W55-V55)/V55)*100%</f>
        <v>0.1130952380952381</v>
      </c>
      <c r="Y55" s="17">
        <v>17.2</v>
      </c>
      <c r="Z55" s="17">
        <v>18.95</v>
      </c>
      <c r="AA55" s="14">
        <f>ABS((Z55-Y55)/Y55)*100%</f>
        <v>0.10174418604651163</v>
      </c>
      <c r="AB55" s="17">
        <v>15.65</v>
      </c>
      <c r="AC55" s="17">
        <v>15.25</v>
      </c>
      <c r="AD55" s="6">
        <f>ABS((AC55-AB55)/AB55)*100%</f>
        <v>2.5559105431309927E-2</v>
      </c>
      <c r="AE55" s="18" t="s">
        <v>176</v>
      </c>
    </row>
    <row r="56" spans="1:31" x14ac:dyDescent="0.25">
      <c r="A56" s="16">
        <v>46034</v>
      </c>
      <c r="B56" s="18" t="s">
        <v>107</v>
      </c>
      <c r="C56" s="17">
        <v>22</v>
      </c>
      <c r="D56" s="18">
        <v>1.81</v>
      </c>
      <c r="E56" s="17">
        <v>79</v>
      </c>
      <c r="F56" s="18" t="s">
        <v>66</v>
      </c>
      <c r="G56" s="18" t="s">
        <v>67</v>
      </c>
      <c r="H56" s="18" t="s">
        <v>25</v>
      </c>
      <c r="I56" s="18" t="s">
        <v>108</v>
      </c>
      <c r="J56" s="18" t="s">
        <v>99</v>
      </c>
      <c r="K56" s="12">
        <v>33</v>
      </c>
      <c r="L56" s="12">
        <v>32</v>
      </c>
      <c r="M56" s="13">
        <f>ABS((L56-K56)/K56)*100%</f>
        <v>3.0303030303030304E-2</v>
      </c>
      <c r="N56" s="12">
        <v>46</v>
      </c>
      <c r="O56" s="12">
        <v>46</v>
      </c>
      <c r="P56" s="13">
        <f>ABS((O56-N56)/N56)*100%</f>
        <v>0</v>
      </c>
      <c r="Q56" s="12">
        <v>13</v>
      </c>
      <c r="R56" s="12">
        <v>8</v>
      </c>
      <c r="S56" s="13">
        <f>ABS((R56-Q56)/Q56)*100%</f>
        <v>0.38461538461538464</v>
      </c>
      <c r="T56" s="18" t="s">
        <v>87</v>
      </c>
      <c r="U56" s="18" t="s">
        <v>81</v>
      </c>
      <c r="V56" s="17">
        <v>187</v>
      </c>
      <c r="W56" s="17">
        <v>180</v>
      </c>
      <c r="X56" s="13">
        <f>ABS((W56-V56)/V56)*100%</f>
        <v>3.7433155080213901E-2</v>
      </c>
      <c r="Y56" s="17">
        <v>33.200000000000003</v>
      </c>
      <c r="Z56" s="17">
        <v>22.55</v>
      </c>
      <c r="AA56" s="14">
        <f>ABS((Z56-Y56)/Y56)*100%</f>
        <v>0.32078313253012053</v>
      </c>
      <c r="AB56" s="17">
        <v>19.75</v>
      </c>
      <c r="AC56" s="17">
        <v>20.6</v>
      </c>
      <c r="AD56" s="6">
        <f>ABS((AC56-AB56)/AB56)*100%</f>
        <v>4.3037974683544374E-2</v>
      </c>
      <c r="AE56" s="18" t="s">
        <v>175</v>
      </c>
    </row>
    <row r="57" spans="1:31" x14ac:dyDescent="0.25">
      <c r="A57" s="16">
        <v>46034</v>
      </c>
      <c r="B57" s="18" t="s">
        <v>109</v>
      </c>
      <c r="C57" s="17">
        <v>21</v>
      </c>
      <c r="D57" s="18">
        <v>1.7</v>
      </c>
      <c r="E57" s="17">
        <v>52</v>
      </c>
      <c r="F57" s="18" t="s">
        <v>66</v>
      </c>
      <c r="G57" s="18" t="s">
        <v>90</v>
      </c>
      <c r="H57" s="18" t="s">
        <v>110</v>
      </c>
      <c r="I57" s="18" t="s">
        <v>102</v>
      </c>
      <c r="J57" s="18" t="s">
        <v>99</v>
      </c>
      <c r="K57" s="12">
        <v>47</v>
      </c>
      <c r="L57" s="12">
        <v>46</v>
      </c>
      <c r="M57" s="13">
        <f>ABS((L57-K57)/K57)*100%</f>
        <v>2.1276595744680851E-2</v>
      </c>
      <c r="N57" s="12">
        <v>90</v>
      </c>
      <c r="O57" s="12">
        <v>100</v>
      </c>
      <c r="P57" s="13">
        <f>ABS((O57-N57)/N57)*100%</f>
        <v>0.1111111111111111</v>
      </c>
      <c r="Q57" s="12">
        <v>21</v>
      </c>
      <c r="R57" s="12">
        <v>20</v>
      </c>
      <c r="S57" s="13">
        <f>ABS((R57-Q57)/Q57)*100%</f>
        <v>4.7619047619047616E-2</v>
      </c>
      <c r="T57" s="18" t="s">
        <v>81</v>
      </c>
      <c r="U57" s="18" t="s">
        <v>82</v>
      </c>
      <c r="V57" s="17">
        <v>144</v>
      </c>
      <c r="W57" s="17">
        <v>180</v>
      </c>
      <c r="X57" s="13">
        <f>ABS((W57-V57)/V57)*100%</f>
        <v>0.25</v>
      </c>
      <c r="Y57" s="17">
        <v>27.4</v>
      </c>
      <c r="Z57" s="17">
        <v>30.5</v>
      </c>
      <c r="AA57" s="14">
        <f>ABS((Z57-Y57)/Y57)*100%</f>
        <v>0.11313868613138692</v>
      </c>
      <c r="AB57" s="17">
        <v>15.25</v>
      </c>
      <c r="AC57" s="17">
        <v>14.4</v>
      </c>
      <c r="AD57" s="6">
        <f>ABS((AC57-AB57)/AB57)*100%</f>
        <v>5.5737704918032767E-2</v>
      </c>
      <c r="AE57" s="18" t="s">
        <v>175</v>
      </c>
    </row>
    <row r="58" spans="1:31" x14ac:dyDescent="0.25">
      <c r="A58" s="16">
        <v>46034</v>
      </c>
      <c r="B58" s="18" t="s">
        <v>111</v>
      </c>
      <c r="C58" s="17">
        <v>19</v>
      </c>
      <c r="D58" s="18">
        <v>1.62</v>
      </c>
      <c r="E58" s="17">
        <v>56</v>
      </c>
      <c r="F58" s="18" t="s">
        <v>66</v>
      </c>
      <c r="G58" s="18" t="s">
        <v>70</v>
      </c>
      <c r="H58" s="18" t="s">
        <v>112</v>
      </c>
      <c r="I58" s="18" t="s">
        <v>93</v>
      </c>
      <c r="J58" s="18" t="s">
        <v>93</v>
      </c>
      <c r="K58" s="12">
        <v>56</v>
      </c>
      <c r="L58" s="12">
        <v>57</v>
      </c>
      <c r="M58" s="13">
        <f>ABS((L58-K58)/K58)*100%</f>
        <v>1.7857142857142856E-2</v>
      </c>
      <c r="N58" s="12">
        <v>45</v>
      </c>
      <c r="O58" s="12">
        <v>46</v>
      </c>
      <c r="P58" s="13">
        <f>ABS((O58-N58)/N58)*100%</f>
        <v>2.2222222222222223E-2</v>
      </c>
      <c r="Q58" s="12">
        <v>26</v>
      </c>
      <c r="R58" s="12">
        <v>22</v>
      </c>
      <c r="S58" s="13">
        <f>ABS((R58-Q58)/Q58)*100%</f>
        <v>0.15384615384615385</v>
      </c>
      <c r="T58" s="18" t="s">
        <v>88</v>
      </c>
      <c r="U58" s="18" t="s">
        <v>81</v>
      </c>
      <c r="V58" s="17">
        <v>160</v>
      </c>
      <c r="W58" s="17">
        <v>152</v>
      </c>
      <c r="X58" s="13">
        <f>ABS((W58-V58)/V58)*100%</f>
        <v>0.05</v>
      </c>
      <c r="Y58" s="17">
        <v>19.399999999999999</v>
      </c>
      <c r="Z58" s="17">
        <v>23.8</v>
      </c>
      <c r="AA58" s="14">
        <f>ABS((Z58-Y58)/Y58)*100%</f>
        <v>0.22680412371134034</v>
      </c>
      <c r="AB58" s="17">
        <v>18.7</v>
      </c>
      <c r="AC58" s="17">
        <v>14.9</v>
      </c>
      <c r="AD58" s="6">
        <f>ABS((AC58-AB58)/AB58)*100%</f>
        <v>0.20320855614973257</v>
      </c>
      <c r="AE58" s="18" t="s">
        <v>175</v>
      </c>
    </row>
    <row r="59" spans="1:31" x14ac:dyDescent="0.25">
      <c r="A59" s="16">
        <v>46034</v>
      </c>
      <c r="B59" s="18" t="s">
        <v>113</v>
      </c>
      <c r="C59" s="17">
        <v>17</v>
      </c>
      <c r="D59" s="18">
        <v>1.54</v>
      </c>
      <c r="E59" s="17">
        <v>53</v>
      </c>
      <c r="F59" s="18" t="s">
        <v>66</v>
      </c>
      <c r="G59" s="18" t="s">
        <v>90</v>
      </c>
      <c r="H59" s="18" t="s">
        <v>114</v>
      </c>
      <c r="I59" s="18" t="s">
        <v>115</v>
      </c>
      <c r="J59" s="18" t="s">
        <v>115</v>
      </c>
      <c r="K59" s="12">
        <v>24</v>
      </c>
      <c r="L59" s="12">
        <v>25</v>
      </c>
      <c r="M59" s="13">
        <f>ABS((L59-K59)/K59)*100%</f>
        <v>4.1666666666666664E-2</v>
      </c>
      <c r="N59" s="12">
        <v>86</v>
      </c>
      <c r="O59" s="12">
        <v>83</v>
      </c>
      <c r="P59" s="13">
        <f>ABS((O59-N59)/N59)*100%</f>
        <v>3.4883720930232558E-2</v>
      </c>
      <c r="Q59" s="12">
        <v>29</v>
      </c>
      <c r="R59" s="12">
        <v>29</v>
      </c>
      <c r="S59" s="13">
        <f>ABS((R59-Q59)/Q59)*100%</f>
        <v>0</v>
      </c>
      <c r="T59" s="18" t="s">
        <v>69</v>
      </c>
      <c r="U59" s="18" t="s">
        <v>69</v>
      </c>
      <c r="V59" s="17">
        <v>136</v>
      </c>
      <c r="W59" s="17">
        <v>127</v>
      </c>
      <c r="X59" s="13">
        <f>ABS((W59-V59)/V59)*100%</f>
        <v>6.6176470588235295E-2</v>
      </c>
      <c r="Y59" s="17">
        <v>17.850000000000001</v>
      </c>
      <c r="Z59" s="17">
        <v>23.2</v>
      </c>
      <c r="AA59" s="14">
        <f>ABS((Z59-Y59)/Y59)*100%</f>
        <v>0.29971988795518195</v>
      </c>
      <c r="AB59" s="17">
        <v>17.649999999999999</v>
      </c>
      <c r="AC59" s="17">
        <v>12.85</v>
      </c>
      <c r="AD59" s="6">
        <f>ABS((AC59-AB59)/AB59)*100%</f>
        <v>0.27195467422096314</v>
      </c>
      <c r="AE59" s="18" t="s">
        <v>175</v>
      </c>
    </row>
    <row r="60" spans="1:31" x14ac:dyDescent="0.25">
      <c r="A60" s="16">
        <v>46034</v>
      </c>
      <c r="B60" s="18" t="s">
        <v>27</v>
      </c>
      <c r="C60" s="17">
        <v>19</v>
      </c>
      <c r="D60" s="18">
        <v>1.72</v>
      </c>
      <c r="E60" s="17">
        <v>51</v>
      </c>
      <c r="F60" s="18" t="s">
        <v>66</v>
      </c>
      <c r="G60" s="18" t="s">
        <v>85</v>
      </c>
      <c r="H60" s="1" t="s">
        <v>79</v>
      </c>
      <c r="I60" s="18" t="s">
        <v>80</v>
      </c>
      <c r="J60" s="18" t="s">
        <v>80</v>
      </c>
      <c r="K60" s="12">
        <v>30</v>
      </c>
      <c r="L60" s="12">
        <v>30</v>
      </c>
      <c r="M60" s="13">
        <f>ABS((L60-K60)/K60)*100%</f>
        <v>0</v>
      </c>
      <c r="N60" s="12">
        <v>66</v>
      </c>
      <c r="O60" s="12">
        <v>63</v>
      </c>
      <c r="P60" s="13">
        <f>ABS((O60-N60)/N60)*100%</f>
        <v>4.5454545454545456E-2</v>
      </c>
      <c r="Q60" s="12">
        <v>20</v>
      </c>
      <c r="R60" s="12">
        <v>26</v>
      </c>
      <c r="S60" s="13">
        <f>ABS((R60-Q60)/Q60)*100%</f>
        <v>0.3</v>
      </c>
      <c r="T60" s="18" t="s">
        <v>116</v>
      </c>
      <c r="U60" s="18" t="s">
        <v>82</v>
      </c>
      <c r="V60" s="17">
        <v>181</v>
      </c>
      <c r="W60" s="17">
        <v>185</v>
      </c>
      <c r="X60" s="13">
        <f>ABS((W60-V60)/V60)*100%</f>
        <v>2.2099447513812154E-2</v>
      </c>
      <c r="Y60" s="17">
        <v>25.15</v>
      </c>
      <c r="Z60" s="17">
        <v>22.8</v>
      </c>
      <c r="AA60" s="14">
        <f>ABS((Z60-Y60)/Y60)*100%</f>
        <v>9.3439363817097332E-2</v>
      </c>
      <c r="AB60" s="17">
        <v>12.15</v>
      </c>
      <c r="AC60" s="17">
        <v>14.25</v>
      </c>
      <c r="AD60" s="6">
        <f>ABS((AC60-AB60)/AB60)*100%</f>
        <v>0.17283950617283947</v>
      </c>
      <c r="AE60" s="18" t="s">
        <v>176</v>
      </c>
    </row>
    <row r="61" spans="1:31" x14ac:dyDescent="0.25">
      <c r="A61" s="16">
        <v>46034</v>
      </c>
      <c r="B61" s="18" t="s">
        <v>117</v>
      </c>
      <c r="C61" s="17">
        <v>17</v>
      </c>
      <c r="D61" s="18">
        <v>1.61</v>
      </c>
      <c r="E61" s="17">
        <v>61</v>
      </c>
      <c r="F61" s="18" t="s">
        <v>66</v>
      </c>
      <c r="G61" s="18" t="s">
        <v>70</v>
      </c>
      <c r="H61" s="18" t="s">
        <v>118</v>
      </c>
      <c r="I61" s="18" t="s">
        <v>115</v>
      </c>
      <c r="J61" s="18" t="s">
        <v>80</v>
      </c>
      <c r="K61" s="12">
        <v>42</v>
      </c>
      <c r="L61" s="12">
        <v>40</v>
      </c>
      <c r="M61" s="13">
        <f>ABS((L61-K61)/K61)*100%</f>
        <v>4.7619047619047616E-2</v>
      </c>
      <c r="N61" s="12">
        <v>84</v>
      </c>
      <c r="O61" s="12">
        <v>75</v>
      </c>
      <c r="P61" s="13">
        <f>ABS((O61-N61)/N61)*100%</f>
        <v>0.10714285714285714</v>
      </c>
      <c r="Q61" s="12">
        <v>24</v>
      </c>
      <c r="R61" s="12">
        <v>20</v>
      </c>
      <c r="S61" s="13">
        <f>ABS((R61-Q61)/Q61)*100%</f>
        <v>0.16666666666666666</v>
      </c>
      <c r="T61" s="18" t="s">
        <v>81</v>
      </c>
      <c r="U61" s="18" t="s">
        <v>81</v>
      </c>
      <c r="V61" s="17">
        <v>160</v>
      </c>
      <c r="W61" s="17">
        <v>170</v>
      </c>
      <c r="X61" s="13">
        <f>ABS((W61-V61)/V61)*100%</f>
        <v>6.25E-2</v>
      </c>
      <c r="Y61" s="17">
        <v>22.45</v>
      </c>
      <c r="Z61" s="17">
        <v>36.799999999999997</v>
      </c>
      <c r="AA61" s="14">
        <f>ABS((Z61-Y61)/Y61)*100%</f>
        <v>0.63919821826280621</v>
      </c>
      <c r="AB61" s="17">
        <v>19.149999999999999</v>
      </c>
      <c r="AC61" s="17">
        <v>15.25</v>
      </c>
      <c r="AD61" s="6">
        <f>ABS((AC61-AB61)/AB61)*100%</f>
        <v>0.20365535248041769</v>
      </c>
      <c r="AE61" s="18" t="s">
        <v>175</v>
      </c>
    </row>
    <row r="62" spans="1:31" x14ac:dyDescent="0.25">
      <c r="A62" s="16">
        <v>46034</v>
      </c>
      <c r="B62" s="18" t="s">
        <v>119</v>
      </c>
      <c r="C62" s="17">
        <v>21</v>
      </c>
      <c r="D62" s="18">
        <v>1.6</v>
      </c>
      <c r="E62" s="17">
        <v>66</v>
      </c>
      <c r="F62" s="18" t="s">
        <v>66</v>
      </c>
      <c r="G62" s="18" t="s">
        <v>67</v>
      </c>
      <c r="H62" s="1" t="s">
        <v>79</v>
      </c>
      <c r="I62" s="18" t="s">
        <v>80</v>
      </c>
      <c r="J62" s="18" t="s">
        <v>80</v>
      </c>
      <c r="K62" s="12">
        <v>52</v>
      </c>
      <c r="L62" s="12">
        <v>43</v>
      </c>
      <c r="M62" s="13">
        <f>ABS((L62-K62)/K62)*100%</f>
        <v>0.17307692307692307</v>
      </c>
      <c r="N62" s="12">
        <v>116</v>
      </c>
      <c r="O62" s="12">
        <v>77</v>
      </c>
      <c r="P62" s="13">
        <f>ABS((O62-N62)/N62)*100%</f>
        <v>0.33620689655172414</v>
      </c>
      <c r="Q62" s="12">
        <v>34</v>
      </c>
      <c r="R62" s="12">
        <v>35</v>
      </c>
      <c r="S62" s="13">
        <f>ABS((R62-Q62)/Q62)*100%</f>
        <v>2.9411764705882353E-2</v>
      </c>
      <c r="T62" s="18" t="s">
        <v>68</v>
      </c>
      <c r="U62" s="18" t="s">
        <v>68</v>
      </c>
      <c r="V62" s="17">
        <v>154</v>
      </c>
      <c r="W62" s="17">
        <v>160</v>
      </c>
      <c r="X62" s="13">
        <f>ABS((W62-V62)/V62)*100%</f>
        <v>3.896103896103896E-2</v>
      </c>
      <c r="Y62" s="17">
        <v>29.75</v>
      </c>
      <c r="Z62" s="17">
        <v>32.5</v>
      </c>
      <c r="AA62" s="14">
        <f>ABS((Z62-Y62)/Y62)*100%</f>
        <v>9.2436974789915971E-2</v>
      </c>
      <c r="AB62" s="17">
        <v>14.6</v>
      </c>
      <c r="AC62" s="17">
        <v>16.45</v>
      </c>
      <c r="AD62" s="6">
        <f>ABS((AC62-AB62)/AB62)*100%</f>
        <v>0.12671232876712327</v>
      </c>
      <c r="AE62" s="18" t="s">
        <v>175</v>
      </c>
    </row>
    <row r="63" spans="1:31" x14ac:dyDescent="0.25">
      <c r="A63" s="16">
        <v>46034</v>
      </c>
      <c r="B63" s="18" t="s">
        <v>120</v>
      </c>
      <c r="C63" s="17">
        <v>19</v>
      </c>
      <c r="D63" s="18">
        <v>1.77</v>
      </c>
      <c r="E63" s="17">
        <v>60</v>
      </c>
      <c r="F63" s="18" t="s">
        <v>66</v>
      </c>
      <c r="G63" s="18" t="s">
        <v>67</v>
      </c>
      <c r="H63" s="18" t="s">
        <v>121</v>
      </c>
      <c r="I63" s="18" t="s">
        <v>115</v>
      </c>
      <c r="J63" s="18" t="s">
        <v>115</v>
      </c>
      <c r="K63" s="12">
        <v>39</v>
      </c>
      <c r="L63" s="12">
        <v>33</v>
      </c>
      <c r="M63" s="13">
        <f>ABS((L63-K63)/K63)*100%</f>
        <v>0.15384615384615385</v>
      </c>
      <c r="N63" s="12">
        <v>28</v>
      </c>
      <c r="O63" s="12">
        <v>28</v>
      </c>
      <c r="P63" s="13">
        <f>ABS((O63-N63)/N63)*100%</f>
        <v>0</v>
      </c>
      <c r="Q63" s="12">
        <v>10</v>
      </c>
      <c r="R63" s="12">
        <v>10</v>
      </c>
      <c r="S63" s="13">
        <f>ABS((R63-Q63)/Q63)*100%</f>
        <v>0</v>
      </c>
      <c r="T63" s="18" t="s">
        <v>81</v>
      </c>
      <c r="U63" s="18" t="s">
        <v>116</v>
      </c>
      <c r="V63" s="17">
        <v>204</v>
      </c>
      <c r="W63" s="17">
        <v>155</v>
      </c>
      <c r="X63" s="13">
        <f>ABS((W63-V63)/V63)*100%</f>
        <v>0.24019607843137256</v>
      </c>
      <c r="Y63" s="17">
        <v>20.399999999999999</v>
      </c>
      <c r="Z63" s="17">
        <v>24.55</v>
      </c>
      <c r="AA63" s="14">
        <f>ABS((Z63-Y63)/Y63)*100%</f>
        <v>0.20343137254901972</v>
      </c>
      <c r="AB63" s="17">
        <v>16.600000000000001</v>
      </c>
      <c r="AC63" s="17">
        <v>12.75</v>
      </c>
      <c r="AD63" s="6">
        <f>ABS((AC63-AB63)/AB63)*100%</f>
        <v>0.23192771084337355</v>
      </c>
      <c r="AE63" s="18" t="s">
        <v>175</v>
      </c>
    </row>
    <row r="64" spans="1:31" x14ac:dyDescent="0.25">
      <c r="A64" s="16">
        <v>46034</v>
      </c>
      <c r="B64" s="18" t="s">
        <v>44</v>
      </c>
      <c r="C64" s="17">
        <v>34</v>
      </c>
      <c r="D64" s="18">
        <v>1.64</v>
      </c>
      <c r="E64" s="17">
        <v>63</v>
      </c>
      <c r="F64" s="18" t="s">
        <v>66</v>
      </c>
      <c r="G64" s="18" t="s">
        <v>85</v>
      </c>
      <c r="H64" s="18" t="s">
        <v>122</v>
      </c>
      <c r="I64" s="18" t="s">
        <v>76</v>
      </c>
      <c r="J64" s="18" t="s">
        <v>76</v>
      </c>
      <c r="K64" s="12">
        <v>34</v>
      </c>
      <c r="L64" s="12">
        <v>34</v>
      </c>
      <c r="M64" s="13">
        <f>ABS((L64-K64)/K64)*100%</f>
        <v>0</v>
      </c>
      <c r="N64" s="12">
        <v>100</v>
      </c>
      <c r="O64" s="12">
        <v>68</v>
      </c>
      <c r="P64" s="13">
        <f>ABS((O64-N64)/N64)*100%</f>
        <v>0.32</v>
      </c>
      <c r="Q64" s="12">
        <v>30</v>
      </c>
      <c r="R64" s="12">
        <v>25</v>
      </c>
      <c r="S64" s="13">
        <f>ABS((R64-Q64)/Q64)*100%</f>
        <v>0.16666666666666666</v>
      </c>
      <c r="T64" s="18" t="s">
        <v>81</v>
      </c>
      <c r="U64" s="18" t="s">
        <v>82</v>
      </c>
      <c r="V64" s="17">
        <v>0</v>
      </c>
      <c r="W64" s="17">
        <v>0</v>
      </c>
      <c r="X64" s="13" t="e">
        <f>ABS((W64-V64)/V64)*100%</f>
        <v>#DIV/0!</v>
      </c>
      <c r="Y64" s="17">
        <v>30.5</v>
      </c>
      <c r="Z64" s="17">
        <v>29.2</v>
      </c>
      <c r="AA64" s="14">
        <f>ABS((Z64-Y64)/Y64)*100%</f>
        <v>4.2622950819672156E-2</v>
      </c>
      <c r="AB64" s="17">
        <v>17.25</v>
      </c>
      <c r="AC64" s="17">
        <v>19</v>
      </c>
      <c r="AD64" s="6">
        <f>ABS((AC64-AB64)/AB64)*100%</f>
        <v>0.10144927536231885</v>
      </c>
      <c r="AE64" s="18" t="s">
        <v>176</v>
      </c>
    </row>
    <row r="65" spans="1:31" x14ac:dyDescent="0.25">
      <c r="A65" s="16">
        <v>46034</v>
      </c>
      <c r="B65" s="18" t="s">
        <v>123</v>
      </c>
      <c r="C65" s="17">
        <v>20</v>
      </c>
      <c r="D65" s="18">
        <v>1.69</v>
      </c>
      <c r="E65" s="17">
        <v>68</v>
      </c>
      <c r="F65" s="18" t="s">
        <v>66</v>
      </c>
      <c r="G65" s="18" t="s">
        <v>85</v>
      </c>
      <c r="H65" s="18" t="s">
        <v>124</v>
      </c>
      <c r="I65" s="18" t="s">
        <v>80</v>
      </c>
      <c r="J65" s="18" t="s">
        <v>80</v>
      </c>
      <c r="K65" s="12">
        <v>35</v>
      </c>
      <c r="L65" s="12">
        <v>38</v>
      </c>
      <c r="M65" s="13">
        <f>ABS((L65-K65)/K65)*100%</f>
        <v>8.5714285714285715E-2</v>
      </c>
      <c r="N65" s="12">
        <v>80</v>
      </c>
      <c r="O65" s="12">
        <v>96</v>
      </c>
      <c r="P65" s="13">
        <f>ABS((O65-N65)/N65)*100%</f>
        <v>0.2</v>
      </c>
      <c r="Q65" s="12">
        <v>20</v>
      </c>
      <c r="R65" s="12">
        <v>26</v>
      </c>
      <c r="S65" s="13">
        <f>ABS((R65-Q65)/Q65)*100%</f>
        <v>0.3</v>
      </c>
      <c r="T65" s="18" t="s">
        <v>125</v>
      </c>
      <c r="U65" s="18" t="s">
        <v>125</v>
      </c>
      <c r="V65" s="17">
        <v>198</v>
      </c>
      <c r="W65" s="17">
        <v>189</v>
      </c>
      <c r="X65" s="13">
        <f>ABS((W65-V65)/V65)*100%</f>
        <v>4.5454545454545456E-2</v>
      </c>
      <c r="Y65" s="17">
        <v>22.75</v>
      </c>
      <c r="Z65" s="17">
        <v>22</v>
      </c>
      <c r="AA65" s="14">
        <f>ABS((Z65-Y65)/Y65)*100%</f>
        <v>3.2967032967032968E-2</v>
      </c>
      <c r="AB65" s="17">
        <v>20.95</v>
      </c>
      <c r="AC65" s="17">
        <v>14.2</v>
      </c>
      <c r="AD65" s="6">
        <f>ABS((AC65-AB65)/AB65)*100%</f>
        <v>0.32219570405727926</v>
      </c>
      <c r="AE65" s="18" t="s">
        <v>175</v>
      </c>
    </row>
    <row r="66" spans="1:31" x14ac:dyDescent="0.25">
      <c r="A66" s="16">
        <v>46034</v>
      </c>
      <c r="B66" s="1" t="s">
        <v>142</v>
      </c>
      <c r="C66" s="17">
        <v>19</v>
      </c>
      <c r="D66" s="18">
        <v>1.75</v>
      </c>
      <c r="E66" s="17">
        <v>0</v>
      </c>
      <c r="F66" s="18" t="s">
        <v>66</v>
      </c>
      <c r="G66" s="18" t="s">
        <v>90</v>
      </c>
      <c r="H66" s="18" t="s">
        <v>25</v>
      </c>
      <c r="I66" s="18" t="s">
        <v>80</v>
      </c>
      <c r="J66" s="18" t="s">
        <v>80</v>
      </c>
      <c r="K66" s="12">
        <v>33</v>
      </c>
      <c r="L66" s="12">
        <v>32</v>
      </c>
      <c r="M66" s="13">
        <f>ABS((L66-K66)/K66)*100%</f>
        <v>3.0303030303030304E-2</v>
      </c>
      <c r="N66" s="12">
        <v>72</v>
      </c>
      <c r="O66" s="12">
        <v>71</v>
      </c>
      <c r="P66" s="13">
        <f>ABS((O66-N66)/N66)*100%</f>
        <v>1.3888888888888888E-2</v>
      </c>
      <c r="Q66" s="12">
        <v>30</v>
      </c>
      <c r="R66" s="12">
        <v>23</v>
      </c>
      <c r="S66" s="13">
        <f>ABS((R66-Q66)/Q66)*100%</f>
        <v>0.23333333333333334</v>
      </c>
      <c r="T66" s="18" t="s">
        <v>87</v>
      </c>
      <c r="U66" s="18" t="s">
        <v>125</v>
      </c>
      <c r="V66" s="17">
        <v>153</v>
      </c>
      <c r="W66" s="17">
        <v>167</v>
      </c>
      <c r="X66" s="13">
        <f>ABS((W66-V66)/V66)*100%</f>
        <v>9.1503267973856203E-2</v>
      </c>
      <c r="Y66" s="17">
        <v>33.15</v>
      </c>
      <c r="Z66" s="17">
        <v>25.4</v>
      </c>
      <c r="AA66" s="14">
        <f>ABS((Z66-Y66)/Y66)*100%</f>
        <v>0.23378582202111614</v>
      </c>
      <c r="AB66" s="17">
        <v>14.75</v>
      </c>
      <c r="AC66" s="17">
        <v>10.95</v>
      </c>
      <c r="AD66" s="6">
        <f>ABS((AC66-AB66)/AB66)*100%</f>
        <v>0.25762711864406784</v>
      </c>
      <c r="AE66" s="18" t="s">
        <v>175</v>
      </c>
    </row>
    <row r="67" spans="1:31" x14ac:dyDescent="0.25">
      <c r="A67" s="16">
        <v>46034</v>
      </c>
      <c r="B67" s="18" t="s">
        <v>126</v>
      </c>
      <c r="C67" s="17">
        <v>18</v>
      </c>
      <c r="D67" s="18">
        <v>1.66</v>
      </c>
      <c r="E67" s="17">
        <v>53</v>
      </c>
      <c r="F67" s="18" t="s">
        <v>66</v>
      </c>
      <c r="G67" s="18" t="s">
        <v>78</v>
      </c>
      <c r="H67" s="18" t="s">
        <v>127</v>
      </c>
      <c r="I67" s="18" t="s">
        <v>80</v>
      </c>
      <c r="J67" s="18" t="s">
        <v>108</v>
      </c>
      <c r="K67" s="12">
        <v>33</v>
      </c>
      <c r="L67" s="12">
        <v>33</v>
      </c>
      <c r="M67" s="13">
        <f>ABS((L67-K67)/K67)*100%</f>
        <v>0</v>
      </c>
      <c r="N67" s="12">
        <v>76</v>
      </c>
      <c r="O67" s="12">
        <v>77</v>
      </c>
      <c r="P67" s="13">
        <f>ABS((O67-N67)/N67)*100%</f>
        <v>1.3157894736842105E-2</v>
      </c>
      <c r="Q67" s="12">
        <v>26</v>
      </c>
      <c r="R67" s="12">
        <v>20</v>
      </c>
      <c r="S67" s="13">
        <f>ABS((R67-Q67)/Q67)*100%</f>
        <v>0.23076923076923078</v>
      </c>
      <c r="T67" s="18" t="s">
        <v>81</v>
      </c>
      <c r="U67" s="18" t="s">
        <v>81</v>
      </c>
      <c r="V67" s="17">
        <v>160</v>
      </c>
      <c r="W67" s="17">
        <v>171</v>
      </c>
      <c r="X67" s="13">
        <f>ABS((W67-V67)/V67)*100%</f>
        <v>6.8750000000000006E-2</v>
      </c>
      <c r="Y67" s="17">
        <v>21.1</v>
      </c>
      <c r="Z67" s="17">
        <v>15.55</v>
      </c>
      <c r="AA67" s="14">
        <f>ABS((Z67-Y67)/Y67)*100%</f>
        <v>0.26303317535545023</v>
      </c>
      <c r="AB67" s="17">
        <v>12.75</v>
      </c>
      <c r="AC67" s="17">
        <v>14.4</v>
      </c>
      <c r="AD67" s="6">
        <f>ABS((AC67-AB67)/AB67)*100%</f>
        <v>0.12941176470588239</v>
      </c>
      <c r="AE67" s="18" t="s">
        <v>175</v>
      </c>
    </row>
    <row r="68" spans="1:31" x14ac:dyDescent="0.25">
      <c r="A68" s="16">
        <v>46034</v>
      </c>
      <c r="B68" s="18" t="s">
        <v>128</v>
      </c>
      <c r="C68" s="17">
        <v>17</v>
      </c>
      <c r="D68" s="18">
        <v>1.59</v>
      </c>
      <c r="E68" s="17">
        <v>0</v>
      </c>
      <c r="F68" s="18" t="s">
        <v>66</v>
      </c>
      <c r="G68" s="18" t="s">
        <v>104</v>
      </c>
      <c r="H68" s="18" t="s">
        <v>129</v>
      </c>
      <c r="I68" s="18" t="s">
        <v>115</v>
      </c>
      <c r="J68" s="18" t="s">
        <v>76</v>
      </c>
      <c r="K68" s="12">
        <v>45</v>
      </c>
      <c r="L68" s="12">
        <v>46</v>
      </c>
      <c r="M68" s="13">
        <f>ABS((L68-K68)/K68)*100%</f>
        <v>2.2222222222222223E-2</v>
      </c>
      <c r="N68" s="12">
        <v>78</v>
      </c>
      <c r="O68" s="12">
        <v>74</v>
      </c>
      <c r="P68" s="13">
        <f>ABS((O68-N68)/N68)*100%</f>
        <v>5.128205128205128E-2</v>
      </c>
      <c r="Q68" s="12">
        <v>42</v>
      </c>
      <c r="R68" s="12">
        <v>31</v>
      </c>
      <c r="S68" s="13">
        <f>ABS((R68-Q68)/Q68)*100%</f>
        <v>0.26190476190476192</v>
      </c>
      <c r="T68" s="18" t="s">
        <v>81</v>
      </c>
      <c r="U68" s="18" t="s">
        <v>82</v>
      </c>
      <c r="V68" s="17">
        <v>140</v>
      </c>
      <c r="W68" s="17">
        <v>144</v>
      </c>
      <c r="X68" s="13">
        <f>ABS((W68-V68)/V68)*100%</f>
        <v>2.8571428571428571E-2</v>
      </c>
      <c r="Y68" s="17">
        <v>24.4</v>
      </c>
      <c r="Z68" s="17">
        <v>22.65</v>
      </c>
      <c r="AA68" s="14">
        <f>ABS((Z68-Y68)/Y68)*100%</f>
        <v>7.1721311475409846E-2</v>
      </c>
      <c r="AB68" s="17">
        <v>16.05</v>
      </c>
      <c r="AC68" s="17">
        <v>16.95</v>
      </c>
      <c r="AD68" s="6">
        <f>ABS((AC68-AB68)/AB68)*100%</f>
        <v>5.6074766355140096E-2</v>
      </c>
      <c r="AE68" s="18" t="s">
        <v>177</v>
      </c>
    </row>
    <row r="69" spans="1:31" x14ac:dyDescent="0.25">
      <c r="A69" s="16">
        <v>46034</v>
      </c>
      <c r="B69" s="18" t="s">
        <v>130</v>
      </c>
      <c r="C69" s="17">
        <v>20</v>
      </c>
      <c r="D69" s="18">
        <v>1.51</v>
      </c>
      <c r="E69" s="17">
        <v>53</v>
      </c>
      <c r="F69" s="18" t="s">
        <v>66</v>
      </c>
      <c r="G69" s="18" t="s">
        <v>131</v>
      </c>
      <c r="H69" s="18" t="s">
        <v>132</v>
      </c>
      <c r="I69" s="18" t="s">
        <v>80</v>
      </c>
      <c r="J69" s="18" t="s">
        <v>93</v>
      </c>
      <c r="K69" s="12">
        <v>42</v>
      </c>
      <c r="L69" s="12">
        <v>42</v>
      </c>
      <c r="M69" s="13">
        <f>ABS((L69-K69)/K69)*100%</f>
        <v>0</v>
      </c>
      <c r="N69" s="12">
        <v>48</v>
      </c>
      <c r="O69" s="12">
        <v>26</v>
      </c>
      <c r="P69" s="13">
        <f>ABS((O69-N69)/N69)*100%</f>
        <v>0.45833333333333331</v>
      </c>
      <c r="Q69" s="12">
        <v>5</v>
      </c>
      <c r="R69" s="12">
        <v>6</v>
      </c>
      <c r="S69" s="13">
        <f>ABS((R69-Q69)/Q69)*100%</f>
        <v>0.2</v>
      </c>
      <c r="T69" s="18" t="s">
        <v>81</v>
      </c>
      <c r="U69" s="18" t="s">
        <v>133</v>
      </c>
      <c r="V69" s="17">
        <v>181</v>
      </c>
      <c r="W69" s="17">
        <v>185</v>
      </c>
      <c r="X69" s="13">
        <f>ABS((W69-V69)/V69)*100%</f>
        <v>2.2099447513812154E-2</v>
      </c>
      <c r="Y69" s="17">
        <v>21.95</v>
      </c>
      <c r="Z69" s="17">
        <v>22.95</v>
      </c>
      <c r="AA69" s="14">
        <f>ABS((Z69-Y69)/Y69)*100%</f>
        <v>4.5558086560364468E-2</v>
      </c>
      <c r="AB69" s="17">
        <v>13.5</v>
      </c>
      <c r="AC69" s="17">
        <v>16.100000000000001</v>
      </c>
      <c r="AD69" s="6">
        <f>ABS((AC69-AB69)/AB69)*100%</f>
        <v>0.1925925925925927</v>
      </c>
      <c r="AE69" s="18" t="s">
        <v>177</v>
      </c>
    </row>
    <row r="70" spans="1:31" x14ac:dyDescent="0.25">
      <c r="A70" s="16">
        <v>46034</v>
      </c>
      <c r="B70" s="18" t="s">
        <v>134</v>
      </c>
      <c r="C70" s="17">
        <v>20</v>
      </c>
      <c r="D70" s="18">
        <v>1.74</v>
      </c>
      <c r="E70" s="17">
        <v>69</v>
      </c>
      <c r="F70" s="18" t="s">
        <v>66</v>
      </c>
      <c r="G70" s="18" t="s">
        <v>135</v>
      </c>
      <c r="H70" s="1" t="s">
        <v>79</v>
      </c>
      <c r="I70" s="18" t="s">
        <v>136</v>
      </c>
      <c r="J70" s="18" t="s">
        <v>93</v>
      </c>
      <c r="K70" s="12">
        <v>46</v>
      </c>
      <c r="L70" s="12">
        <v>45</v>
      </c>
      <c r="M70" s="13">
        <f>ABS((L70-K70)/K70)*100%</f>
        <v>2.1739130434782608E-2</v>
      </c>
      <c r="N70" s="12">
        <v>42</v>
      </c>
      <c r="O70" s="12">
        <v>46</v>
      </c>
      <c r="P70" s="13">
        <f>ABS((O70-N70)/N70)*100%</f>
        <v>9.5238095238095233E-2</v>
      </c>
      <c r="Q70" s="12">
        <v>13</v>
      </c>
      <c r="R70" s="12">
        <v>15</v>
      </c>
      <c r="S70" s="13">
        <f>ABS((R70-Q70)/Q70)*100%</f>
        <v>0.15384615384615385</v>
      </c>
      <c r="T70" s="18" t="s">
        <v>81</v>
      </c>
      <c r="U70" s="18" t="s">
        <v>81</v>
      </c>
      <c r="V70" s="17">
        <v>125</v>
      </c>
      <c r="W70" s="17">
        <v>125</v>
      </c>
      <c r="X70" s="13">
        <f>ABS((W70-V70)/V70)*100%</f>
        <v>0</v>
      </c>
      <c r="Y70" s="17">
        <v>31.9</v>
      </c>
      <c r="Z70" s="17">
        <v>25.64</v>
      </c>
      <c r="AA70" s="14">
        <f>ABS((Z70-Y70)/Y70)*100%</f>
        <v>0.19623824451410654</v>
      </c>
      <c r="AB70" s="17">
        <v>12.85</v>
      </c>
      <c r="AC70" s="17">
        <v>10.9</v>
      </c>
      <c r="AD70" s="6">
        <f>ABS((AC70-AB70)/AB70)*100%</f>
        <v>0.15175097276264587</v>
      </c>
      <c r="AE70" s="18" t="s">
        <v>178</v>
      </c>
    </row>
    <row r="71" spans="1:31" x14ac:dyDescent="0.25">
      <c r="A71" s="16">
        <v>46034</v>
      </c>
      <c r="B71" s="18" t="s">
        <v>137</v>
      </c>
      <c r="C71" s="17">
        <v>21</v>
      </c>
      <c r="D71" s="18">
        <v>1.62</v>
      </c>
      <c r="E71" s="17">
        <v>50</v>
      </c>
      <c r="F71" s="18" t="s">
        <v>66</v>
      </c>
      <c r="G71" s="18" t="s">
        <v>138</v>
      </c>
      <c r="H71" s="1" t="s">
        <v>79</v>
      </c>
      <c r="I71" s="18" t="s">
        <v>80</v>
      </c>
      <c r="J71" s="18" t="s">
        <v>80</v>
      </c>
      <c r="K71" s="12">
        <v>44</v>
      </c>
      <c r="L71" s="12">
        <v>44</v>
      </c>
      <c r="M71" s="13">
        <f>ABS((L71-K71)/K71)*100%</f>
        <v>0</v>
      </c>
      <c r="N71" s="12">
        <v>73</v>
      </c>
      <c r="O71" s="12">
        <v>70</v>
      </c>
      <c r="P71" s="13">
        <f>ABS((O71-N71)/N71)*100%</f>
        <v>4.1095890410958902E-2</v>
      </c>
      <c r="Q71" s="12">
        <v>28</v>
      </c>
      <c r="R71" s="12">
        <v>22</v>
      </c>
      <c r="S71" s="13">
        <f>ABS((R71-Q71)/Q71)*100%</f>
        <v>0.21428571428571427</v>
      </c>
      <c r="T71" s="18" t="s">
        <v>87</v>
      </c>
      <c r="U71" s="18" t="s">
        <v>82</v>
      </c>
      <c r="V71" s="17">
        <v>158</v>
      </c>
      <c r="W71" s="17">
        <v>152</v>
      </c>
      <c r="X71" s="13">
        <f>ABS((W71-V71)/V71)*100%</f>
        <v>3.7974683544303799E-2</v>
      </c>
      <c r="Y71" s="17">
        <v>25.55</v>
      </c>
      <c r="Z71" s="17">
        <v>31.45</v>
      </c>
      <c r="AA71" s="14">
        <f>ABS((Z71-Y71)/Y71)*100%</f>
        <v>0.23091976516634044</v>
      </c>
      <c r="AB71" s="17">
        <v>15.15</v>
      </c>
      <c r="AC71" s="17">
        <v>12.25</v>
      </c>
      <c r="AD71" s="6">
        <f>ABS((AC71-AB71)/AB71)*100%</f>
        <v>0.19141914191419143</v>
      </c>
      <c r="AE71" s="18" t="s">
        <v>175</v>
      </c>
    </row>
    <row r="72" spans="1:31" x14ac:dyDescent="0.25">
      <c r="A72" s="16">
        <v>46034</v>
      </c>
      <c r="B72" s="18" t="s">
        <v>139</v>
      </c>
      <c r="C72" s="17">
        <v>18</v>
      </c>
      <c r="D72" s="18">
        <v>1.66</v>
      </c>
      <c r="E72" s="17">
        <v>0</v>
      </c>
      <c r="F72" s="18" t="s">
        <v>66</v>
      </c>
      <c r="G72" s="18" t="s">
        <v>78</v>
      </c>
      <c r="H72" s="18" t="s">
        <v>140</v>
      </c>
      <c r="I72" s="18" t="s">
        <v>68</v>
      </c>
      <c r="J72" s="18" t="s">
        <v>141</v>
      </c>
      <c r="K72" s="12">
        <v>52</v>
      </c>
      <c r="L72" s="12">
        <v>50</v>
      </c>
      <c r="M72" s="13">
        <f>ABS((L72-K72)/K72)*100%</f>
        <v>3.8461538461538464E-2</v>
      </c>
      <c r="N72" s="12">
        <v>69</v>
      </c>
      <c r="O72" s="12">
        <v>68</v>
      </c>
      <c r="P72" s="13">
        <f>ABS((O72-N72)/N72)*100%</f>
        <v>1.4492753623188406E-2</v>
      </c>
      <c r="Q72" s="12">
        <v>25</v>
      </c>
      <c r="R72" s="12">
        <v>23</v>
      </c>
      <c r="S72" s="13">
        <f>ABS((R72-Q72)/Q72)*100%</f>
        <v>0.08</v>
      </c>
      <c r="T72" s="18" t="s">
        <v>81</v>
      </c>
      <c r="U72" s="18" t="s">
        <v>82</v>
      </c>
      <c r="V72" s="17">
        <v>162</v>
      </c>
      <c r="W72" s="17">
        <v>175</v>
      </c>
      <c r="X72" s="13">
        <f>ABS((W72-V72)/V72)*100%</f>
        <v>8.0246913580246909E-2</v>
      </c>
      <c r="Y72" s="17">
        <v>30.35</v>
      </c>
      <c r="Z72" s="17">
        <v>30.6</v>
      </c>
      <c r="AA72" s="14">
        <f>ABS((Z72-Y72)/Y72)*100%</f>
        <v>8.2372322899505763E-3</v>
      </c>
      <c r="AB72" s="17">
        <v>17.850000000000001</v>
      </c>
      <c r="AC72" s="17">
        <v>15.25</v>
      </c>
      <c r="AD72" s="6">
        <f>ABS((AC72-AB72)/AB72)*100%</f>
        <v>0.14565826330532219</v>
      </c>
      <c r="AE72" s="18" t="s">
        <v>175</v>
      </c>
    </row>
    <row r="73" spans="1:31" x14ac:dyDescent="0.25">
      <c r="A73" s="19">
        <v>46098</v>
      </c>
      <c r="B73" s="1" t="s">
        <v>184</v>
      </c>
      <c r="C73" s="1">
        <v>21</v>
      </c>
      <c r="D73" s="1">
        <v>1.76</v>
      </c>
      <c r="E73" s="1">
        <v>78</v>
      </c>
      <c r="F73" s="1" t="s">
        <v>143</v>
      </c>
      <c r="G73" s="1" t="s">
        <v>135</v>
      </c>
      <c r="H73" s="1" t="s">
        <v>172</v>
      </c>
      <c r="I73" s="1" t="s">
        <v>148</v>
      </c>
      <c r="J73" s="1" t="s">
        <v>148</v>
      </c>
      <c r="K73" s="12">
        <v>47</v>
      </c>
      <c r="L73" s="12">
        <v>50</v>
      </c>
      <c r="M73" s="13">
        <f>ABS((L73-K73)/K73)*100%</f>
        <v>6.3829787234042548E-2</v>
      </c>
      <c r="N73" s="12">
        <v>57</v>
      </c>
      <c r="O73" s="12">
        <v>45</v>
      </c>
      <c r="P73" s="13">
        <f>ABS((O73-N73)/N73)*100%</f>
        <v>0.21052631578947367</v>
      </c>
      <c r="Q73" s="12">
        <v>19</v>
      </c>
      <c r="R73" s="12">
        <v>17</v>
      </c>
      <c r="S73" s="13">
        <f>ABS((R73-Q73)/Q73)*100%</f>
        <v>0.10526315789473684</v>
      </c>
      <c r="T73" s="21" t="s">
        <v>81</v>
      </c>
      <c r="U73" s="21" t="s">
        <v>116</v>
      </c>
      <c r="V73" s="1">
        <v>184</v>
      </c>
      <c r="W73" s="1">
        <v>180</v>
      </c>
      <c r="X73" s="13">
        <f>ABS((W73-V73)/V73)*100%</f>
        <v>2.1739130434782608E-2</v>
      </c>
      <c r="Y73" s="1">
        <v>56</v>
      </c>
      <c r="Z73" s="1">
        <v>57</v>
      </c>
      <c r="AA73" s="14">
        <f>ABS((Z73-Y73)/Y73)*100%</f>
        <v>1.7857142857142856E-2</v>
      </c>
      <c r="AB73" s="1">
        <v>25.2</v>
      </c>
      <c r="AC73" s="1">
        <v>25.7</v>
      </c>
      <c r="AD73" s="6">
        <f>ABS((AC73-AB73)/AB73)*100%</f>
        <v>1.984126984126984E-2</v>
      </c>
      <c r="AE73" s="1" t="s">
        <v>179</v>
      </c>
    </row>
    <row r="74" spans="1:31" x14ac:dyDescent="0.25">
      <c r="A74" s="19">
        <v>46098</v>
      </c>
      <c r="B74" s="20" t="s">
        <v>65</v>
      </c>
      <c r="C74" s="1">
        <v>21</v>
      </c>
      <c r="D74" s="1">
        <v>1.63</v>
      </c>
      <c r="E74" s="1">
        <v>52</v>
      </c>
      <c r="F74" s="1" t="s">
        <v>143</v>
      </c>
      <c r="G74" s="1" t="s">
        <v>67</v>
      </c>
      <c r="H74" s="22" t="s">
        <v>79</v>
      </c>
      <c r="I74" s="1" t="s">
        <v>80</v>
      </c>
      <c r="J74" s="1" t="s">
        <v>80</v>
      </c>
      <c r="K74" s="12">
        <v>32</v>
      </c>
      <c r="L74" s="12">
        <v>32</v>
      </c>
      <c r="M74" s="13">
        <f>ABS((L74-K74)/K74)*100%</f>
        <v>0</v>
      </c>
      <c r="N74" s="12">
        <v>95</v>
      </c>
      <c r="O74" s="12">
        <v>85</v>
      </c>
      <c r="P74" s="13">
        <f>ABS((O74-N74)/N74)*100%</f>
        <v>0.10526315789473684</v>
      </c>
      <c r="Q74" s="12">
        <v>23</v>
      </c>
      <c r="R74" s="12">
        <v>25</v>
      </c>
      <c r="S74" s="13">
        <f>ABS((R74-Q74)/Q74)*100%</f>
        <v>8.6956521739130432E-2</v>
      </c>
      <c r="T74" s="1" t="s">
        <v>88</v>
      </c>
      <c r="U74" s="1" t="s">
        <v>88</v>
      </c>
      <c r="V74" s="1">
        <v>161</v>
      </c>
      <c r="W74" s="1">
        <v>179</v>
      </c>
      <c r="X74" s="13">
        <f>ABS((W74-V74)/V74)*100%</f>
        <v>0.11180124223602485</v>
      </c>
      <c r="Y74" s="1">
        <v>38.85</v>
      </c>
      <c r="Z74" s="1">
        <v>34.4</v>
      </c>
      <c r="AA74" s="14">
        <f>ABS((Z74-Y74)/Y74)*100%</f>
        <v>0.11454311454311461</v>
      </c>
      <c r="AB74" s="1">
        <v>18.05</v>
      </c>
      <c r="AC74" s="1">
        <v>16.45</v>
      </c>
      <c r="AD74" s="6">
        <f>ABS((AC74-AB74)/AB74)*100%</f>
        <v>8.8642659279778463E-2</v>
      </c>
      <c r="AE74" s="1" t="s">
        <v>175</v>
      </c>
    </row>
    <row r="75" spans="1:31" x14ac:dyDescent="0.25">
      <c r="A75" s="19">
        <v>46098</v>
      </c>
      <c r="B75" s="1" t="s">
        <v>171</v>
      </c>
      <c r="C75" s="1">
        <v>21</v>
      </c>
      <c r="D75" s="1">
        <v>1.58</v>
      </c>
      <c r="E75" s="1">
        <v>63</v>
      </c>
      <c r="F75" s="1" t="s">
        <v>143</v>
      </c>
      <c r="G75" s="1" t="s">
        <v>138</v>
      </c>
      <c r="H75" s="1" t="s">
        <v>79</v>
      </c>
      <c r="I75" s="1" t="s">
        <v>80</v>
      </c>
      <c r="J75" s="1" t="s">
        <v>80</v>
      </c>
      <c r="K75" s="12">
        <v>39</v>
      </c>
      <c r="L75" s="12">
        <v>38</v>
      </c>
      <c r="M75" s="13">
        <f>ABS((L75-K75)/K75)*100%</f>
        <v>2.564102564102564E-2</v>
      </c>
      <c r="N75" s="12">
        <v>94</v>
      </c>
      <c r="O75" s="12">
        <v>100</v>
      </c>
      <c r="P75" s="13">
        <f>ABS((O75-N75)/N75)*100%</f>
        <v>6.3829787234042548E-2</v>
      </c>
      <c r="Q75" s="12">
        <v>22</v>
      </c>
      <c r="R75" s="12">
        <v>19</v>
      </c>
      <c r="S75" s="13">
        <f>ABS((R75-Q75)/Q75)*100%</f>
        <v>0.13636363636363635</v>
      </c>
      <c r="T75" s="1" t="s">
        <v>168</v>
      </c>
      <c r="U75" s="1" t="s">
        <v>168</v>
      </c>
      <c r="V75" s="1">
        <v>150</v>
      </c>
      <c r="W75" s="1">
        <v>137</v>
      </c>
      <c r="X75" s="13">
        <f>ABS((W75-V75)/V75)*100%</f>
        <v>8.666666666666667E-2</v>
      </c>
      <c r="Y75" s="1">
        <v>33</v>
      </c>
      <c r="Z75" s="1">
        <v>37</v>
      </c>
      <c r="AA75" s="14">
        <f>ABS((Z75-Y75)/Y75)*100%</f>
        <v>0.12121212121212122</v>
      </c>
      <c r="AB75" s="1">
        <v>19.5</v>
      </c>
      <c r="AC75" s="1">
        <v>16.8</v>
      </c>
      <c r="AD75" s="6">
        <f>ABS((AC75-AB75)/AB75)*100%</f>
        <v>0.13846153846153841</v>
      </c>
      <c r="AE75" s="1" t="s">
        <v>175</v>
      </c>
    </row>
    <row r="76" spans="1:31" x14ac:dyDescent="0.25">
      <c r="A76" s="19">
        <v>46098</v>
      </c>
      <c r="B76" s="1" t="s">
        <v>146</v>
      </c>
      <c r="C76" s="1">
        <v>19</v>
      </c>
      <c r="D76" s="1">
        <v>1.73</v>
      </c>
      <c r="E76" s="1">
        <v>60</v>
      </c>
      <c r="F76" s="1" t="s">
        <v>143</v>
      </c>
      <c r="G76" s="1" t="s">
        <v>67</v>
      </c>
      <c r="H76" s="1" t="s">
        <v>147</v>
      </c>
      <c r="I76" s="1" t="s">
        <v>148</v>
      </c>
      <c r="J76" s="1" t="s">
        <v>148</v>
      </c>
      <c r="K76" s="12">
        <v>38</v>
      </c>
      <c r="L76" s="12">
        <v>35</v>
      </c>
      <c r="M76" s="13">
        <f>ABS((L76-K76)/K76)*100%</f>
        <v>7.8947368421052627E-2</v>
      </c>
      <c r="N76" s="12">
        <v>70</v>
      </c>
      <c r="O76" s="12">
        <v>68</v>
      </c>
      <c r="P76" s="13">
        <f>ABS((O76-N76)/N76)*100%</f>
        <v>2.8571428571428571E-2</v>
      </c>
      <c r="Q76" s="12">
        <v>45</v>
      </c>
      <c r="R76" s="12">
        <v>65</v>
      </c>
      <c r="S76" s="13">
        <f>ABS((R76-Q76)/Q76)*100%</f>
        <v>0.44444444444444442</v>
      </c>
      <c r="T76" s="1" t="s">
        <v>87</v>
      </c>
      <c r="U76" s="1" t="s">
        <v>87</v>
      </c>
      <c r="V76" s="1">
        <v>201</v>
      </c>
      <c r="W76" s="1">
        <v>198</v>
      </c>
      <c r="X76" s="13">
        <f>ABS((W76-V76)/V76)*100%</f>
        <v>1.4925373134328358E-2</v>
      </c>
      <c r="Y76" s="1">
        <v>55</v>
      </c>
      <c r="Z76" s="1">
        <v>46</v>
      </c>
      <c r="AA76" s="14">
        <f>ABS((Z76-Y76)/Y76)*100%</f>
        <v>0.16363636363636364</v>
      </c>
      <c r="AB76" s="1">
        <v>24.4</v>
      </c>
      <c r="AC76" s="1">
        <v>25.9</v>
      </c>
      <c r="AD76" s="6">
        <f>ABS((AC76-AB76)/AB76)*100%</f>
        <v>6.147540983606558E-2</v>
      </c>
      <c r="AE76" s="1" t="s">
        <v>175</v>
      </c>
    </row>
    <row r="77" spans="1:31" x14ac:dyDescent="0.25">
      <c r="A77" s="19">
        <v>46098</v>
      </c>
      <c r="B77" s="20" t="s">
        <v>73</v>
      </c>
      <c r="C77" s="1">
        <v>18</v>
      </c>
      <c r="D77" s="1">
        <v>1.57</v>
      </c>
      <c r="E77" s="1">
        <v>52</v>
      </c>
      <c r="F77" s="1" t="s">
        <v>143</v>
      </c>
      <c r="G77" s="1" t="s">
        <v>208</v>
      </c>
      <c r="H77" s="20" t="s">
        <v>75</v>
      </c>
      <c r="I77" s="1" t="s">
        <v>80</v>
      </c>
      <c r="J77" s="1" t="s">
        <v>80</v>
      </c>
      <c r="K77" s="12">
        <v>36</v>
      </c>
      <c r="L77" s="12">
        <v>34</v>
      </c>
      <c r="M77" s="13">
        <f>ABS((L77-K77)/K77)*100%</f>
        <v>5.5555555555555552E-2</v>
      </c>
      <c r="N77" s="12">
        <v>64</v>
      </c>
      <c r="O77" s="12">
        <v>51</v>
      </c>
      <c r="P77" s="13">
        <f>ABS((O77-N77)/N77)*100%</f>
        <v>0.203125</v>
      </c>
      <c r="Q77" s="12">
        <v>23</v>
      </c>
      <c r="R77" s="12">
        <v>23</v>
      </c>
      <c r="S77" s="13">
        <f>ABS((R77-Q77)/Q77)*100%</f>
        <v>0</v>
      </c>
      <c r="T77" s="1" t="s">
        <v>88</v>
      </c>
      <c r="U77" s="1" t="s">
        <v>88</v>
      </c>
      <c r="V77" s="1">
        <v>176</v>
      </c>
      <c r="W77" s="1">
        <v>154</v>
      </c>
      <c r="X77" s="13">
        <f>ABS((W77-V77)/V77)*100%</f>
        <v>0.125</v>
      </c>
      <c r="Y77" s="1">
        <v>50</v>
      </c>
      <c r="Z77" s="1">
        <v>43</v>
      </c>
      <c r="AA77" s="14">
        <f>ABS((Z77-Y77)/Y77)*100%</f>
        <v>0.14000000000000001</v>
      </c>
      <c r="AB77" s="1">
        <v>20.8</v>
      </c>
      <c r="AC77" s="1">
        <v>18.8</v>
      </c>
      <c r="AD77" s="6">
        <f>ABS((AC77-AB77)/AB77)*100%</f>
        <v>9.6153846153846145E-2</v>
      </c>
      <c r="AE77" s="1" t="s">
        <v>175</v>
      </c>
    </row>
    <row r="78" spans="1:31" x14ac:dyDescent="0.25">
      <c r="A78" s="19">
        <v>46098</v>
      </c>
      <c r="B78" s="21" t="s">
        <v>77</v>
      </c>
      <c r="C78" s="1">
        <v>18</v>
      </c>
      <c r="D78" s="1">
        <v>1.62</v>
      </c>
      <c r="E78" s="1">
        <v>0</v>
      </c>
      <c r="F78" s="1" t="s">
        <v>143</v>
      </c>
      <c r="G78" s="1" t="s">
        <v>78</v>
      </c>
      <c r="H78" s="1" t="s">
        <v>79</v>
      </c>
      <c r="I78" s="1" t="s">
        <v>80</v>
      </c>
      <c r="J78" s="1" t="s">
        <v>80</v>
      </c>
      <c r="K78" s="12">
        <v>48</v>
      </c>
      <c r="L78" s="12">
        <v>47</v>
      </c>
      <c r="M78" s="13">
        <f>ABS((L78-K78)/K78)*100%</f>
        <v>2.0833333333333332E-2</v>
      </c>
      <c r="N78" s="12">
        <v>90</v>
      </c>
      <c r="O78" s="12">
        <v>84</v>
      </c>
      <c r="P78" s="13">
        <f>ABS((O78-N78)/N78)*100%</f>
        <v>6.6666666666666666E-2</v>
      </c>
      <c r="Q78" s="12">
        <v>32</v>
      </c>
      <c r="R78" s="12">
        <v>35</v>
      </c>
      <c r="S78" s="13">
        <f>ABS((R78-Q78)/Q78)*100%</f>
        <v>9.375E-2</v>
      </c>
      <c r="T78" s="1" t="s">
        <v>168</v>
      </c>
      <c r="U78" s="1" t="s">
        <v>169</v>
      </c>
      <c r="V78" s="1">
        <v>189</v>
      </c>
      <c r="W78" s="1">
        <v>193</v>
      </c>
      <c r="X78" s="13">
        <f>ABS((W78-V78)/V78)*100%</f>
        <v>2.1164021164021163E-2</v>
      </c>
      <c r="Y78" s="1">
        <v>54</v>
      </c>
      <c r="Z78" s="1">
        <v>57.8</v>
      </c>
      <c r="AA78" s="14">
        <f>ABS((Z78-Y78)/Y78)*100%</f>
        <v>7.0370370370370319E-2</v>
      </c>
      <c r="AB78" s="1">
        <v>28.7</v>
      </c>
      <c r="AC78" s="1">
        <v>29.9</v>
      </c>
      <c r="AD78" s="6">
        <f>ABS((AC78-AB78)/AB78)*100%</f>
        <v>4.1811846689895446E-2</v>
      </c>
      <c r="AE78" s="1" t="s">
        <v>175</v>
      </c>
    </row>
    <row r="79" spans="1:31" x14ac:dyDescent="0.25">
      <c r="A79" s="19">
        <v>46098</v>
      </c>
      <c r="B79" s="1" t="s">
        <v>84</v>
      </c>
      <c r="C79" s="1">
        <v>18</v>
      </c>
      <c r="D79" s="1">
        <v>1.73</v>
      </c>
      <c r="E79" s="1">
        <v>68</v>
      </c>
      <c r="F79" s="1" t="s">
        <v>143</v>
      </c>
      <c r="G79" s="1" t="s">
        <v>85</v>
      </c>
      <c r="H79" s="1" t="s">
        <v>79</v>
      </c>
      <c r="I79" s="1" t="s">
        <v>151</v>
      </c>
      <c r="J79" s="1" t="s">
        <v>154</v>
      </c>
      <c r="K79" s="12">
        <v>36</v>
      </c>
      <c r="L79" s="12">
        <v>38</v>
      </c>
      <c r="M79" s="13">
        <f>ABS((L79-K79)/K79)*100%</f>
        <v>5.5555555555555552E-2</v>
      </c>
      <c r="N79" s="12">
        <v>68</v>
      </c>
      <c r="O79" s="12">
        <v>76</v>
      </c>
      <c r="P79" s="13">
        <f>ABS((O79-N79)/N79)*100%</f>
        <v>0.11764705882352941</v>
      </c>
      <c r="Q79" s="12">
        <v>40</v>
      </c>
      <c r="R79" s="12">
        <v>51</v>
      </c>
      <c r="S79" s="13">
        <f>ABS((R79-Q79)/Q79)*100%</f>
        <v>0.27500000000000002</v>
      </c>
      <c r="T79" s="1" t="s">
        <v>88</v>
      </c>
      <c r="U79" s="1" t="s">
        <v>88</v>
      </c>
      <c r="V79" s="1">
        <v>196</v>
      </c>
      <c r="W79" s="1">
        <v>202</v>
      </c>
      <c r="X79" s="13">
        <f>ABS((W79-V79)/V79)*100%</f>
        <v>3.0612244897959183E-2</v>
      </c>
      <c r="Y79" s="1">
        <v>71</v>
      </c>
      <c r="Z79" s="1">
        <v>36</v>
      </c>
      <c r="AA79" s="14">
        <f>ABS((Z79-Y79)/Y79)*100%</f>
        <v>0.49295774647887325</v>
      </c>
      <c r="AB79" s="1">
        <v>23.9</v>
      </c>
      <c r="AC79" s="1">
        <v>24.4</v>
      </c>
      <c r="AD79" s="6">
        <f>ABS((AC79-AB79)/AB79)*100%</f>
        <v>2.0920502092050212E-2</v>
      </c>
      <c r="AE79" s="1" t="s">
        <v>175</v>
      </c>
    </row>
    <row r="80" spans="1:31" x14ac:dyDescent="0.25">
      <c r="A80" s="19">
        <v>46098</v>
      </c>
      <c r="B80" s="20" t="s">
        <v>89</v>
      </c>
      <c r="C80" s="1">
        <v>24</v>
      </c>
      <c r="D80" s="1">
        <v>1.58</v>
      </c>
      <c r="E80" s="1">
        <v>60</v>
      </c>
      <c r="F80" s="1" t="s">
        <v>143</v>
      </c>
      <c r="G80" s="1" t="s">
        <v>160</v>
      </c>
      <c r="H80" s="20" t="s">
        <v>91</v>
      </c>
      <c r="I80" s="1" t="s">
        <v>80</v>
      </c>
      <c r="J80" s="1" t="s">
        <v>80</v>
      </c>
      <c r="K80" s="12">
        <v>60</v>
      </c>
      <c r="L80" s="12">
        <v>53</v>
      </c>
      <c r="M80" s="13">
        <f>ABS((L80-K80)/K80)*100%</f>
        <v>0.11666666666666667</v>
      </c>
      <c r="N80" s="12">
        <v>81</v>
      </c>
      <c r="O80" s="12">
        <v>93</v>
      </c>
      <c r="P80" s="13">
        <f>ABS((O80-N80)/N80)*100%</f>
        <v>0.14814814814814814</v>
      </c>
      <c r="Q80" s="12">
        <v>40</v>
      </c>
      <c r="R80" s="12">
        <v>38</v>
      </c>
      <c r="S80" s="13">
        <f>ABS((R80-Q80)/Q80)*100%</f>
        <v>0.05</v>
      </c>
      <c r="T80" s="1" t="s">
        <v>88</v>
      </c>
      <c r="U80" s="1" t="s">
        <v>88</v>
      </c>
      <c r="V80" s="1">
        <v>161</v>
      </c>
      <c r="W80" s="1">
        <v>172</v>
      </c>
      <c r="X80" s="13">
        <f>ABS((W80-V80)/V80)*100%</f>
        <v>6.8322981366459631E-2</v>
      </c>
      <c r="Y80" s="1">
        <v>57.95</v>
      </c>
      <c r="Z80" s="1">
        <v>47.55</v>
      </c>
      <c r="AA80" s="14">
        <f>ABS((Z80-Y80)/Y80)*100%</f>
        <v>0.17946505608283012</v>
      </c>
      <c r="AB80" s="1">
        <v>17.5</v>
      </c>
      <c r="AC80" s="1">
        <v>18.05</v>
      </c>
      <c r="AD80" s="6">
        <f>ABS((AC80-AB80)/AB80)*100%</f>
        <v>3.1428571428571472E-2</v>
      </c>
      <c r="AE80" s="1" t="s">
        <v>176</v>
      </c>
    </row>
    <row r="81" spans="1:31" x14ac:dyDescent="0.25">
      <c r="A81" s="19">
        <v>46098</v>
      </c>
      <c r="B81" s="21" t="s">
        <v>92</v>
      </c>
      <c r="C81" s="1">
        <v>20</v>
      </c>
      <c r="D81" s="1">
        <v>1.76</v>
      </c>
      <c r="E81" s="1">
        <v>64</v>
      </c>
      <c r="F81" s="1" t="s">
        <v>143</v>
      </c>
      <c r="G81" s="1" t="s">
        <v>85</v>
      </c>
      <c r="H81" s="1" t="s">
        <v>153</v>
      </c>
      <c r="I81" s="1" t="s">
        <v>151</v>
      </c>
      <c r="J81" s="1" t="s">
        <v>151</v>
      </c>
      <c r="K81" s="12">
        <v>41</v>
      </c>
      <c r="L81" s="12">
        <v>40</v>
      </c>
      <c r="M81" s="13">
        <f>ABS((L81-K81)/K81)*100%</f>
        <v>2.4390243902439025E-2</v>
      </c>
      <c r="N81" s="12">
        <v>108</v>
      </c>
      <c r="O81" s="12">
        <v>76</v>
      </c>
      <c r="P81" s="13">
        <f>ABS((O81-N81)/N81)*100%</f>
        <v>0.29629629629629628</v>
      </c>
      <c r="Q81" s="12">
        <v>50</v>
      </c>
      <c r="R81" s="12">
        <v>50</v>
      </c>
      <c r="S81" s="13">
        <f>ABS((R81-Q81)/Q81)*100%</f>
        <v>0</v>
      </c>
      <c r="T81" s="1" t="s">
        <v>88</v>
      </c>
      <c r="U81" s="1" t="s">
        <v>88</v>
      </c>
      <c r="V81" s="1">
        <v>192</v>
      </c>
      <c r="W81" s="1">
        <v>189</v>
      </c>
      <c r="X81" s="13">
        <f>ABS((W81-V81)/V81)*100%</f>
        <v>1.5625E-2</v>
      </c>
      <c r="Y81" s="1">
        <v>48.5</v>
      </c>
      <c r="Z81" s="1">
        <v>44</v>
      </c>
      <c r="AA81" s="14">
        <f>ABS((Z81-Y81)/Y81)*100%</f>
        <v>9.2783505154639179E-2</v>
      </c>
      <c r="AB81" s="1">
        <v>22.6</v>
      </c>
      <c r="AC81" s="1">
        <v>30</v>
      </c>
      <c r="AD81" s="6">
        <f>ABS((AC81-AB81)/AB81)*100%</f>
        <v>0.32743362831858397</v>
      </c>
      <c r="AE81" s="1" t="s">
        <v>175</v>
      </c>
    </row>
    <row r="82" spans="1:31" x14ac:dyDescent="0.25">
      <c r="A82" s="19">
        <v>46098</v>
      </c>
      <c r="B82" s="21" t="s">
        <v>97</v>
      </c>
      <c r="C82" s="1">
        <v>18</v>
      </c>
      <c r="D82" s="1">
        <v>1.58</v>
      </c>
      <c r="E82" s="1">
        <v>52</v>
      </c>
      <c r="F82" s="1" t="s">
        <v>143</v>
      </c>
      <c r="G82" s="1" t="s">
        <v>90</v>
      </c>
      <c r="H82" s="1" t="s">
        <v>161</v>
      </c>
      <c r="I82" s="1" t="s">
        <v>80</v>
      </c>
      <c r="J82" s="1" t="s">
        <v>80</v>
      </c>
      <c r="K82" s="12">
        <v>40</v>
      </c>
      <c r="L82" s="12">
        <v>30</v>
      </c>
      <c r="M82" s="13">
        <f>ABS((L82-K82)/K82)*100%</f>
        <v>0.25</v>
      </c>
      <c r="N82" s="12">
        <v>69</v>
      </c>
      <c r="O82" s="12">
        <v>76</v>
      </c>
      <c r="P82" s="13">
        <f>ABS((O82-N82)/N82)*100%</f>
        <v>0.10144927536231885</v>
      </c>
      <c r="Q82" s="12">
        <v>30</v>
      </c>
      <c r="R82" s="12">
        <v>25</v>
      </c>
      <c r="S82" s="13">
        <f>ABS((R82-Q82)/Q82)*100%</f>
        <v>0.16666666666666666</v>
      </c>
      <c r="T82" s="1" t="s">
        <v>87</v>
      </c>
      <c r="U82" s="1" t="s">
        <v>162</v>
      </c>
      <c r="V82" s="1">
        <v>164</v>
      </c>
      <c r="W82" s="1">
        <v>173</v>
      </c>
      <c r="X82" s="13">
        <f>ABS((W82-V82)/V82)*100%</f>
        <v>5.4878048780487805E-2</v>
      </c>
      <c r="Y82" s="1">
        <v>42.75</v>
      </c>
      <c r="Z82" s="1">
        <v>37.450000000000003</v>
      </c>
      <c r="AA82" s="14">
        <f>ABS((Z82-Y82)/Y82)*100%</f>
        <v>0.12397660818713443</v>
      </c>
      <c r="AB82" s="1">
        <v>17.8</v>
      </c>
      <c r="AC82" s="1">
        <v>17.8</v>
      </c>
      <c r="AD82" s="6">
        <f>ABS((AC82-AB82)/AB82)*100%</f>
        <v>0</v>
      </c>
      <c r="AE82" s="1" t="s">
        <v>175</v>
      </c>
    </row>
    <row r="83" spans="1:31" x14ac:dyDescent="0.25">
      <c r="A83" s="19">
        <v>46098</v>
      </c>
      <c r="B83" s="1" t="s">
        <v>155</v>
      </c>
      <c r="C83" s="1">
        <v>19</v>
      </c>
      <c r="D83" s="1">
        <v>1.63</v>
      </c>
      <c r="E83" s="1">
        <v>64</v>
      </c>
      <c r="F83" s="1" t="s">
        <v>143</v>
      </c>
      <c r="G83" s="1" t="s">
        <v>156</v>
      </c>
      <c r="H83" s="1" t="s">
        <v>157</v>
      </c>
      <c r="I83" s="1" t="s">
        <v>148</v>
      </c>
      <c r="J83" s="1" t="s">
        <v>80</v>
      </c>
      <c r="K83" s="12">
        <v>45</v>
      </c>
      <c r="L83" s="12">
        <v>44</v>
      </c>
      <c r="M83" s="13">
        <f>ABS((L83-K83)/K83)*100%</f>
        <v>2.2222222222222223E-2</v>
      </c>
      <c r="N83" s="12">
        <v>73</v>
      </c>
      <c r="O83" s="12">
        <v>101</v>
      </c>
      <c r="P83" s="13">
        <f>ABS((O83-N83)/N83)*100%</f>
        <v>0.38356164383561642</v>
      </c>
      <c r="Q83" s="12">
        <v>24</v>
      </c>
      <c r="R83" s="12">
        <v>25</v>
      </c>
      <c r="S83" s="13">
        <f>ABS((R83-Q83)/Q83)*100%</f>
        <v>4.1666666666666664E-2</v>
      </c>
      <c r="T83" s="1" t="s">
        <v>88</v>
      </c>
      <c r="U83" s="1" t="s">
        <v>88</v>
      </c>
      <c r="V83" s="1">
        <v>194</v>
      </c>
      <c r="W83" s="1">
        <v>182</v>
      </c>
      <c r="X83" s="13">
        <f>ABS((W83-V83)/V83)*100%</f>
        <v>6.1855670103092786E-2</v>
      </c>
      <c r="Y83" s="1">
        <v>41</v>
      </c>
      <c r="Z83" s="1">
        <v>45</v>
      </c>
      <c r="AA83" s="14">
        <f>ABS((Z83-Y83)/Y83)*100%</f>
        <v>9.7560975609756101E-2</v>
      </c>
      <c r="AB83" s="1">
        <v>28.6</v>
      </c>
      <c r="AC83" s="1">
        <v>25.9</v>
      </c>
      <c r="AD83" s="6">
        <f>ABS((AC83-AB83)/AB83)*100%</f>
        <v>9.4405594405594498E-2</v>
      </c>
      <c r="AE83" s="1" t="s">
        <v>177</v>
      </c>
    </row>
    <row r="84" spans="1:31" x14ac:dyDescent="0.25">
      <c r="A84" s="19">
        <v>46098</v>
      </c>
      <c r="B84" s="21" t="s">
        <v>101</v>
      </c>
      <c r="C84" s="1">
        <v>19</v>
      </c>
      <c r="D84" s="1">
        <v>1.68</v>
      </c>
      <c r="E84" s="1">
        <v>51</v>
      </c>
      <c r="F84" s="1" t="s">
        <v>143</v>
      </c>
      <c r="G84" s="1" t="s">
        <v>70</v>
      </c>
      <c r="H84" s="1" t="s">
        <v>163</v>
      </c>
      <c r="I84" s="1" t="s">
        <v>80</v>
      </c>
      <c r="J84" s="1" t="s">
        <v>80</v>
      </c>
      <c r="K84" s="12">
        <v>42</v>
      </c>
      <c r="L84" s="12">
        <v>40</v>
      </c>
      <c r="M84" s="13">
        <f>ABS((L84-K84)/K84)*100%</f>
        <v>4.7619047619047616E-2</v>
      </c>
      <c r="N84" s="12">
        <v>104</v>
      </c>
      <c r="O84" s="12">
        <v>100</v>
      </c>
      <c r="P84" s="13">
        <f>ABS((O84-N84)/N84)*100%</f>
        <v>3.8461538461538464E-2</v>
      </c>
      <c r="Q84" s="12">
        <v>30</v>
      </c>
      <c r="R84" s="12">
        <v>29</v>
      </c>
      <c r="S84" s="13">
        <f>ABS((R84-Q84)/Q84)*100%</f>
        <v>3.3333333333333333E-2</v>
      </c>
      <c r="T84" s="1" t="s">
        <v>164</v>
      </c>
      <c r="U84" s="1" t="s">
        <v>164</v>
      </c>
      <c r="V84" s="1">
        <v>173</v>
      </c>
      <c r="W84" s="1">
        <v>161</v>
      </c>
      <c r="X84" s="13">
        <f>ABS((W84-V84)/V84)*100%</f>
        <v>6.9364161849710976E-2</v>
      </c>
      <c r="Y84" s="1">
        <v>49</v>
      </c>
      <c r="Z84" s="1">
        <v>36.799999999999997</v>
      </c>
      <c r="AA84" s="14">
        <f>ABS((Z84-Y84)/Y84)*100%</f>
        <v>0.24897959183673476</v>
      </c>
      <c r="AB84" s="1">
        <v>23</v>
      </c>
      <c r="AC84" s="1">
        <v>20</v>
      </c>
      <c r="AD84" s="6">
        <f>ABS((AC84-AB84)/AB84)*100%</f>
        <v>0.13043478260869565</v>
      </c>
      <c r="AE84" s="1" t="s">
        <v>175</v>
      </c>
    </row>
    <row r="85" spans="1:31" x14ac:dyDescent="0.25">
      <c r="A85" s="19">
        <v>46098</v>
      </c>
      <c r="B85" s="20" t="s">
        <v>103</v>
      </c>
      <c r="C85" s="1">
        <v>20</v>
      </c>
      <c r="D85" s="1">
        <v>1.54</v>
      </c>
      <c r="E85" s="1">
        <v>48</v>
      </c>
      <c r="F85" s="1" t="s">
        <v>143</v>
      </c>
      <c r="G85" s="1" t="s">
        <v>104</v>
      </c>
      <c r="H85" s="1" t="s">
        <v>170</v>
      </c>
      <c r="I85" s="1" t="s">
        <v>80</v>
      </c>
      <c r="J85" s="1" t="s">
        <v>80</v>
      </c>
      <c r="K85" s="12">
        <v>38</v>
      </c>
      <c r="L85" s="12">
        <v>38</v>
      </c>
      <c r="M85" s="13">
        <f>ABS((L85-K85)/K85)*100%</f>
        <v>0</v>
      </c>
      <c r="N85" s="12">
        <v>59</v>
      </c>
      <c r="O85" s="12">
        <v>57</v>
      </c>
      <c r="P85" s="13">
        <f>ABS((O85-N85)/N85)*100%</f>
        <v>3.3898305084745763E-2</v>
      </c>
      <c r="Q85" s="12">
        <v>21</v>
      </c>
      <c r="R85" s="12">
        <v>30</v>
      </c>
      <c r="S85" s="13">
        <f>ABS((R85-Q85)/Q85)*100%</f>
        <v>0.42857142857142855</v>
      </c>
      <c r="T85" s="1" t="s">
        <v>164</v>
      </c>
      <c r="U85" s="1" t="s">
        <v>169</v>
      </c>
      <c r="V85" s="1">
        <v>181</v>
      </c>
      <c r="W85" s="1">
        <v>120</v>
      </c>
      <c r="X85" s="13">
        <f>ABS((W85-V85)/V85)*100%</f>
        <v>0.33701657458563539</v>
      </c>
      <c r="Y85" s="1">
        <v>28.15</v>
      </c>
      <c r="Z85" s="1">
        <v>28.15</v>
      </c>
      <c r="AA85" s="14">
        <f>ABS((Z85-Y85)/Y85)*100%</f>
        <v>0</v>
      </c>
      <c r="AB85" s="1">
        <v>17</v>
      </c>
      <c r="AC85" s="1">
        <v>19.899999999999999</v>
      </c>
      <c r="AD85" s="6">
        <f>ABS((AC85-AB85)/AB85)*100%</f>
        <v>0.17058823529411757</v>
      </c>
      <c r="AE85" s="18" t="s">
        <v>176</v>
      </c>
    </row>
    <row r="86" spans="1:31" x14ac:dyDescent="0.25">
      <c r="A86" s="19">
        <v>46098</v>
      </c>
      <c r="B86" s="21" t="s">
        <v>107</v>
      </c>
      <c r="C86" s="1">
        <v>22</v>
      </c>
      <c r="D86" s="1">
        <v>1.82</v>
      </c>
      <c r="E86" s="1">
        <v>79</v>
      </c>
      <c r="F86" s="1" t="s">
        <v>143</v>
      </c>
      <c r="G86" s="1" t="s">
        <v>67</v>
      </c>
      <c r="H86" s="1" t="s">
        <v>25</v>
      </c>
      <c r="I86" s="1" t="s">
        <v>80</v>
      </c>
      <c r="J86" s="1" t="s">
        <v>80</v>
      </c>
      <c r="K86" s="12">
        <v>32</v>
      </c>
      <c r="L86" s="12">
        <v>34</v>
      </c>
      <c r="M86" s="13">
        <f>ABS((L86-K86)/K86)*100%</f>
        <v>6.25E-2</v>
      </c>
      <c r="N86" s="12">
        <v>46</v>
      </c>
      <c r="O86" s="12">
        <v>56</v>
      </c>
      <c r="P86" s="13">
        <f>ABS((O86-N86)/N86)*100%</f>
        <v>0.21739130434782608</v>
      </c>
      <c r="Q86" s="12">
        <v>21</v>
      </c>
      <c r="R86" s="12">
        <v>25</v>
      </c>
      <c r="S86" s="13">
        <f>ABS((R86-Q86)/Q86)*100%</f>
        <v>0.19047619047619047</v>
      </c>
      <c r="T86" s="1" t="s">
        <v>164</v>
      </c>
      <c r="U86" s="1" t="s">
        <v>168</v>
      </c>
      <c r="V86" s="1">
        <v>194</v>
      </c>
      <c r="W86" s="1">
        <v>184</v>
      </c>
      <c r="X86" s="13">
        <f>ABS((W86-V86)/V86)*100%</f>
        <v>5.1546391752577317E-2</v>
      </c>
      <c r="Y86" s="1">
        <v>61</v>
      </c>
      <c r="Z86" s="1">
        <v>33</v>
      </c>
      <c r="AA86" s="14">
        <f>ABS((Z86-Y86)/Y86)*100%</f>
        <v>0.45901639344262296</v>
      </c>
      <c r="AB86" s="11">
        <v>22.3</v>
      </c>
      <c r="AC86" s="11">
        <v>19.399999999999999</v>
      </c>
      <c r="AD86" s="6">
        <f>ABS((AC86-AB86)/AB86)*100%</f>
        <v>0.13004484304932745</v>
      </c>
      <c r="AE86" s="11" t="s">
        <v>175</v>
      </c>
    </row>
    <row r="87" spans="1:31" x14ac:dyDescent="0.25">
      <c r="A87" s="5">
        <v>46098</v>
      </c>
      <c r="B87" s="1" t="s">
        <v>173</v>
      </c>
      <c r="C87" s="1">
        <v>36</v>
      </c>
      <c r="D87" s="1">
        <v>0</v>
      </c>
      <c r="E87" s="1">
        <v>0</v>
      </c>
      <c r="F87" s="1" t="s">
        <v>143</v>
      </c>
      <c r="G87" s="1" t="s">
        <v>135</v>
      </c>
      <c r="H87" s="1" t="s">
        <v>79</v>
      </c>
      <c r="I87" s="1" t="s">
        <v>136</v>
      </c>
      <c r="J87" s="1" t="s">
        <v>136</v>
      </c>
      <c r="K87" s="12">
        <v>47</v>
      </c>
      <c r="L87" s="12">
        <v>40</v>
      </c>
      <c r="M87" s="2">
        <f>ABS((L87-K87)/K87)*100%</f>
        <v>0.14893617021276595</v>
      </c>
      <c r="N87" s="12">
        <v>56</v>
      </c>
      <c r="O87" s="12">
        <v>54</v>
      </c>
      <c r="P87" s="2">
        <f>ABS((O87-N87)/N87)*100%</f>
        <v>3.5714285714285712E-2</v>
      </c>
      <c r="Q87" s="12">
        <v>16</v>
      </c>
      <c r="R87" s="12">
        <v>16</v>
      </c>
      <c r="S87" s="2">
        <f>ABS((R87-Q87)/Q87)*100%</f>
        <v>0</v>
      </c>
      <c r="T87" s="1" t="s">
        <v>69</v>
      </c>
      <c r="U87" s="1" t="s">
        <v>168</v>
      </c>
      <c r="V87" s="1">
        <v>139</v>
      </c>
      <c r="W87" s="1">
        <v>142</v>
      </c>
      <c r="X87" s="2">
        <f>ABS((W87-V87)/V87)*100%</f>
        <v>2.1582733812949641E-2</v>
      </c>
      <c r="Y87" s="1">
        <v>23.5</v>
      </c>
      <c r="Z87" s="1">
        <v>26.3</v>
      </c>
      <c r="AA87" s="6">
        <f>ABS((Z87-Y87)/Y87)*100%</f>
        <v>0.1191489361702128</v>
      </c>
      <c r="AB87" s="1">
        <v>23</v>
      </c>
      <c r="AC87" s="1">
        <v>17.5</v>
      </c>
      <c r="AD87" s="2">
        <f>ABS((AC87-AB87)/AB87)*100%</f>
        <v>0.2391304347826087</v>
      </c>
      <c r="AE87" s="1" t="s">
        <v>175</v>
      </c>
    </row>
    <row r="88" spans="1:31" x14ac:dyDescent="0.25">
      <c r="A88" s="5">
        <v>46098</v>
      </c>
      <c r="B88" s="18" t="s">
        <v>111</v>
      </c>
      <c r="C88" s="1">
        <v>19</v>
      </c>
      <c r="D88" s="1">
        <v>1.62</v>
      </c>
      <c r="E88" s="1">
        <v>55</v>
      </c>
      <c r="F88" s="1" t="s">
        <v>143</v>
      </c>
      <c r="G88" s="1" t="s">
        <v>70</v>
      </c>
      <c r="H88" s="1" t="s">
        <v>152</v>
      </c>
      <c r="I88" s="1" t="s">
        <v>80</v>
      </c>
      <c r="J88" s="1" t="s">
        <v>151</v>
      </c>
      <c r="K88" s="12">
        <v>52</v>
      </c>
      <c r="L88" s="12">
        <v>55</v>
      </c>
      <c r="M88" s="2">
        <f>ABS((L88-K88)/K88)*100%</f>
        <v>5.7692307692307696E-2</v>
      </c>
      <c r="N88" s="12">
        <v>90</v>
      </c>
      <c r="O88" s="12">
        <v>85</v>
      </c>
      <c r="P88" s="2">
        <f>ABS((O88-N88)/N88)*100%</f>
        <v>5.5555555555555552E-2</v>
      </c>
      <c r="Q88" s="12">
        <v>49</v>
      </c>
      <c r="R88" s="12">
        <v>18</v>
      </c>
      <c r="S88" s="2">
        <f>ABS((R88-Q88)/Q88)*100%</f>
        <v>0.63265306122448983</v>
      </c>
      <c r="T88" s="1" t="s">
        <v>88</v>
      </c>
      <c r="U88" s="1" t="s">
        <v>88</v>
      </c>
      <c r="V88" s="1">
        <v>186</v>
      </c>
      <c r="W88" s="1">
        <v>171</v>
      </c>
      <c r="X88" s="2">
        <f>ABS((W88-V88)/V88)*100%</f>
        <v>8.0645161290322578E-2</v>
      </c>
      <c r="Y88" s="1">
        <v>62</v>
      </c>
      <c r="Z88" s="1">
        <v>46</v>
      </c>
      <c r="AA88" s="6">
        <f>ABS((Z88-Y88)/Y88)*100%</f>
        <v>0.25806451612903225</v>
      </c>
      <c r="AB88" s="1">
        <v>19</v>
      </c>
      <c r="AC88" s="1">
        <v>19</v>
      </c>
      <c r="AD88" s="2">
        <f>ABS((AC88-AB88)/AB88)*100%</f>
        <v>0</v>
      </c>
      <c r="AE88" s="1" t="s">
        <v>175</v>
      </c>
    </row>
    <row r="89" spans="1:31" x14ac:dyDescent="0.25">
      <c r="A89" s="5">
        <v>46098</v>
      </c>
      <c r="B89" s="21" t="s">
        <v>27</v>
      </c>
      <c r="C89" s="1">
        <v>19</v>
      </c>
      <c r="D89" s="1">
        <v>1.72</v>
      </c>
      <c r="E89" s="1">
        <v>53</v>
      </c>
      <c r="F89" s="1" t="s">
        <v>143</v>
      </c>
      <c r="G89" s="1" t="s">
        <v>216</v>
      </c>
      <c r="H89" s="1" t="s">
        <v>159</v>
      </c>
      <c r="I89" s="1" t="s">
        <v>80</v>
      </c>
      <c r="J89" s="1" t="s">
        <v>80</v>
      </c>
      <c r="K89" s="12">
        <v>34</v>
      </c>
      <c r="L89" s="12">
        <v>34</v>
      </c>
      <c r="M89" s="2">
        <f>ABS((L89-K89)/K89)*100%</f>
        <v>0</v>
      </c>
      <c r="N89" s="12">
        <v>83</v>
      </c>
      <c r="O89" s="12">
        <v>74</v>
      </c>
      <c r="P89" s="2">
        <f>ABS((O89-N89)/N89)*100%</f>
        <v>0.10843373493975904</v>
      </c>
      <c r="Q89" s="12">
        <v>39</v>
      </c>
      <c r="R89" s="12">
        <v>41</v>
      </c>
      <c r="S89" s="2">
        <f>ABS((R89-Q89)/Q89)*100%</f>
        <v>5.128205128205128E-2</v>
      </c>
      <c r="T89" s="1" t="s">
        <v>88</v>
      </c>
      <c r="U89" s="1" t="s">
        <v>88</v>
      </c>
      <c r="V89" s="1">
        <v>210</v>
      </c>
      <c r="W89" s="1">
        <v>229</v>
      </c>
      <c r="X89" s="2">
        <f>ABS((W89-V89)/V89)*100%</f>
        <v>9.0476190476190474E-2</v>
      </c>
      <c r="Y89" s="1">
        <v>29.9</v>
      </c>
      <c r="Z89" s="1">
        <v>26.65</v>
      </c>
      <c r="AA89" s="6">
        <f>ABS((Z89-Y89)/Y89)*100%</f>
        <v>0.10869565217391305</v>
      </c>
      <c r="AB89" s="1">
        <v>19.399999999999999</v>
      </c>
      <c r="AC89" s="1">
        <v>20.55</v>
      </c>
      <c r="AD89" s="2">
        <f>ABS((AC89-AB89)/AB89)*100%</f>
        <v>5.9278350515464033E-2</v>
      </c>
      <c r="AE89" s="1" t="s">
        <v>176</v>
      </c>
    </row>
    <row r="90" spans="1:31" x14ac:dyDescent="0.25">
      <c r="A90" s="5">
        <v>46098</v>
      </c>
      <c r="B90" s="1" t="s">
        <v>174</v>
      </c>
      <c r="C90" s="1">
        <v>16</v>
      </c>
      <c r="D90" s="1">
        <v>0</v>
      </c>
      <c r="E90" s="1">
        <v>0</v>
      </c>
      <c r="F90" s="1" t="s">
        <v>143</v>
      </c>
      <c r="G90" s="1" t="s">
        <v>135</v>
      </c>
      <c r="H90" s="1" t="s">
        <v>79</v>
      </c>
      <c r="I90" s="1" t="s">
        <v>136</v>
      </c>
      <c r="J90" s="1" t="s">
        <v>136</v>
      </c>
      <c r="K90" s="12">
        <v>48</v>
      </c>
      <c r="L90" s="12">
        <v>43</v>
      </c>
      <c r="M90" s="2">
        <f>ABS((L90-K90)/K90)*100%</f>
        <v>0.10416666666666667</v>
      </c>
      <c r="N90" s="12">
        <v>68</v>
      </c>
      <c r="O90" s="12">
        <v>68</v>
      </c>
      <c r="P90" s="2">
        <f>ABS((O90-N90)/N90)*100%</f>
        <v>0</v>
      </c>
      <c r="Q90" s="12">
        <v>24</v>
      </c>
      <c r="R90" s="12">
        <v>20</v>
      </c>
      <c r="S90" s="2">
        <f>ABS((R90-Q90)/Q90)*100%</f>
        <v>0.16666666666666666</v>
      </c>
      <c r="T90" s="1" t="s">
        <v>88</v>
      </c>
      <c r="U90" s="1" t="s">
        <v>88</v>
      </c>
      <c r="V90" s="1">
        <v>120</v>
      </c>
      <c r="W90" s="1">
        <v>177</v>
      </c>
      <c r="X90" s="2">
        <f>ABS((W90-V90)/V90)*100%</f>
        <v>0.47499999999999998</v>
      </c>
      <c r="Y90" s="1">
        <v>36.200000000000003</v>
      </c>
      <c r="Z90" s="1">
        <v>32.5</v>
      </c>
      <c r="AA90" s="6">
        <f>ABS((Z90-Y90)/Y90)*100%</f>
        <v>0.10220994475138129</v>
      </c>
      <c r="AB90" s="1">
        <v>20</v>
      </c>
      <c r="AC90" s="1">
        <v>23.8</v>
      </c>
      <c r="AD90" s="2">
        <f>ABS((AC90-AB90)/AB90)*100%</f>
        <v>0.19000000000000003</v>
      </c>
      <c r="AE90" s="1" t="s">
        <v>175</v>
      </c>
    </row>
    <row r="91" spans="1:31" x14ac:dyDescent="0.25">
      <c r="A91" s="5">
        <v>46098</v>
      </c>
      <c r="B91" s="20" t="s">
        <v>117</v>
      </c>
      <c r="C91" s="1">
        <v>17</v>
      </c>
      <c r="D91" s="1">
        <v>1.6</v>
      </c>
      <c r="E91" s="1">
        <v>60</v>
      </c>
      <c r="F91" s="1" t="s">
        <v>143</v>
      </c>
      <c r="G91" s="1" t="s">
        <v>166</v>
      </c>
      <c r="H91" s="1" t="s">
        <v>167</v>
      </c>
      <c r="I91" s="1" t="s">
        <v>136</v>
      </c>
      <c r="J91" s="1" t="s">
        <v>151</v>
      </c>
      <c r="K91" s="12">
        <v>24</v>
      </c>
      <c r="L91" s="12">
        <v>35</v>
      </c>
      <c r="M91" s="2">
        <f>ABS((L91-K91)/K91)*100%</f>
        <v>0.45833333333333331</v>
      </c>
      <c r="N91" s="12">
        <v>67</v>
      </c>
      <c r="O91" s="12">
        <v>70</v>
      </c>
      <c r="P91" s="2">
        <f>ABS((O91-N91)/N91)*100%</f>
        <v>4.4776119402985072E-2</v>
      </c>
      <c r="Q91" s="12">
        <v>31</v>
      </c>
      <c r="R91" s="12">
        <v>40</v>
      </c>
      <c r="S91" s="2">
        <f>ABS((R91-Q91)/Q91)*100%</f>
        <v>0.29032258064516131</v>
      </c>
      <c r="T91" s="1" t="s">
        <v>168</v>
      </c>
      <c r="U91" s="1" t="s">
        <v>164</v>
      </c>
      <c r="V91" s="1">
        <v>168</v>
      </c>
      <c r="W91" s="1">
        <v>168</v>
      </c>
      <c r="X91" s="2">
        <f>ABS((W91-V91)/V91)*100%</f>
        <v>0</v>
      </c>
      <c r="Y91" s="1">
        <v>45</v>
      </c>
      <c r="Z91" s="1">
        <v>47</v>
      </c>
      <c r="AA91" s="6">
        <f>ABS((Z91-Y91)/Y91)*100%</f>
        <v>4.4444444444444446E-2</v>
      </c>
      <c r="AB91" s="1">
        <v>24</v>
      </c>
      <c r="AC91" s="1">
        <v>25</v>
      </c>
      <c r="AD91" s="2">
        <f>ABS((AC91-AB91)/AB91)*100%</f>
        <v>4.1666666666666664E-2</v>
      </c>
      <c r="AE91" s="1" t="s">
        <v>175</v>
      </c>
    </row>
    <row r="92" spans="1:31" x14ac:dyDescent="0.25">
      <c r="A92" s="5">
        <v>46098</v>
      </c>
      <c r="B92" s="21" t="s">
        <v>119</v>
      </c>
      <c r="C92" s="1">
        <v>21</v>
      </c>
      <c r="D92" s="1">
        <v>1.6</v>
      </c>
      <c r="E92" s="1">
        <v>65</v>
      </c>
      <c r="F92" s="1" t="s">
        <v>143</v>
      </c>
      <c r="G92" s="1" t="s">
        <v>67</v>
      </c>
      <c r="H92" s="1" t="s">
        <v>79</v>
      </c>
      <c r="I92" s="21" t="s">
        <v>108</v>
      </c>
      <c r="J92" s="21" t="s">
        <v>108</v>
      </c>
      <c r="K92" s="12">
        <v>59</v>
      </c>
      <c r="L92" s="12">
        <v>63</v>
      </c>
      <c r="M92" s="2">
        <f>ABS((L92-K92)/K92)*100%</f>
        <v>6.7796610169491525E-2</v>
      </c>
      <c r="N92" s="12">
        <v>130</v>
      </c>
      <c r="O92" s="12">
        <v>167</v>
      </c>
      <c r="P92" s="2">
        <f>ABS((O92-N92)/N92)*100%</f>
        <v>0.2846153846153846</v>
      </c>
      <c r="Q92" s="12">
        <v>70</v>
      </c>
      <c r="R92" s="12">
        <v>40</v>
      </c>
      <c r="S92" s="2">
        <f>ABS((R92-Q92)/Q92)*100%</f>
        <v>0.42857142857142855</v>
      </c>
      <c r="T92" s="1" t="s">
        <v>88</v>
      </c>
      <c r="U92" s="1" t="s">
        <v>68</v>
      </c>
      <c r="V92" s="1">
        <v>177</v>
      </c>
      <c r="W92" s="1">
        <v>150</v>
      </c>
      <c r="X92" s="2">
        <f>ABS((W92-V92)/V92)*100%</f>
        <v>0.15254237288135594</v>
      </c>
      <c r="Y92" s="1">
        <v>76</v>
      </c>
      <c r="Z92" s="1">
        <v>42</v>
      </c>
      <c r="AA92" s="6">
        <f>ABS((Z92-Y92)/Y92)*100%</f>
        <v>0.44736842105263158</v>
      </c>
      <c r="AB92" s="1">
        <v>23</v>
      </c>
      <c r="AC92" s="1">
        <v>18</v>
      </c>
      <c r="AD92" s="2">
        <f>ABS((AC92-AB92)/AB92)*100%</f>
        <v>0.21739130434782608</v>
      </c>
      <c r="AE92" s="1" t="s">
        <v>175</v>
      </c>
    </row>
    <row r="93" spans="1:31" x14ac:dyDescent="0.25">
      <c r="A93" s="5">
        <v>46098</v>
      </c>
      <c r="B93" s="20" t="s">
        <v>123</v>
      </c>
      <c r="C93" s="1">
        <v>20</v>
      </c>
      <c r="D93" s="1">
        <v>1.69</v>
      </c>
      <c r="E93" s="1">
        <v>68</v>
      </c>
      <c r="F93" s="1" t="s">
        <v>143</v>
      </c>
      <c r="G93" s="1" t="s">
        <v>85</v>
      </c>
      <c r="H93" s="20" t="s">
        <v>158</v>
      </c>
      <c r="I93" s="1" t="s">
        <v>151</v>
      </c>
      <c r="J93" s="1" t="s">
        <v>136</v>
      </c>
      <c r="K93" s="12">
        <v>46</v>
      </c>
      <c r="L93" s="12">
        <v>50</v>
      </c>
      <c r="M93" s="2">
        <f>ABS((L93-K93)/K93)*100%</f>
        <v>8.6956521739130432E-2</v>
      </c>
      <c r="N93" s="12">
        <v>76</v>
      </c>
      <c r="O93" s="12">
        <v>79</v>
      </c>
      <c r="P93" s="2">
        <f>ABS((O93-N93)/N93)*100%</f>
        <v>3.9473684210526314E-2</v>
      </c>
      <c r="Q93" s="12">
        <v>30</v>
      </c>
      <c r="R93" s="12">
        <v>20</v>
      </c>
      <c r="S93" s="2">
        <f>ABS((R93-Q93)/Q93)*100%</f>
        <v>0.33333333333333331</v>
      </c>
      <c r="T93" s="1" t="s">
        <v>88</v>
      </c>
      <c r="U93" s="1" t="s">
        <v>88</v>
      </c>
      <c r="V93" s="1">
        <v>150</v>
      </c>
      <c r="W93" s="1">
        <v>207</v>
      </c>
      <c r="X93" s="2">
        <f>ABS((W93-V93)/V93)*100%</f>
        <v>0.38</v>
      </c>
      <c r="Y93" s="1">
        <v>53.8</v>
      </c>
      <c r="Z93" s="1">
        <v>48.55</v>
      </c>
      <c r="AA93" s="6">
        <f>ABS((Z93-Y93)/Y93)*100%</f>
        <v>9.7583643122676589E-2</v>
      </c>
      <c r="AB93" s="1">
        <v>19.3</v>
      </c>
      <c r="AC93" s="1">
        <v>23.25</v>
      </c>
      <c r="AD93" s="2">
        <f>ABS((AC93-AB93)/AB93)*100%</f>
        <v>0.20466321243523311</v>
      </c>
      <c r="AE93" s="1" t="s">
        <v>175</v>
      </c>
    </row>
    <row r="94" spans="1:31" x14ac:dyDescent="0.25">
      <c r="A94" s="5">
        <v>46098</v>
      </c>
      <c r="B94" s="1" t="s">
        <v>142</v>
      </c>
      <c r="C94" s="1">
        <v>19</v>
      </c>
      <c r="D94" s="1">
        <v>1.72</v>
      </c>
      <c r="E94" s="1">
        <v>0</v>
      </c>
      <c r="F94" s="1" t="s">
        <v>143</v>
      </c>
      <c r="G94" s="1" t="s">
        <v>90</v>
      </c>
      <c r="H94" s="1" t="s">
        <v>144</v>
      </c>
      <c r="I94" s="1" t="s">
        <v>86</v>
      </c>
      <c r="J94" s="1" t="s">
        <v>145</v>
      </c>
      <c r="K94" s="12">
        <v>47</v>
      </c>
      <c r="L94" s="12">
        <v>48</v>
      </c>
      <c r="M94" s="2">
        <f>ABS((L94-K94)/K94)*100%</f>
        <v>2.1276595744680851E-2</v>
      </c>
      <c r="N94" s="12">
        <v>58</v>
      </c>
      <c r="O94" s="12">
        <v>72</v>
      </c>
      <c r="P94" s="2">
        <f>ABS((O94-N94)/N94)*100%</f>
        <v>0.2413793103448276</v>
      </c>
      <c r="Q94" s="12">
        <v>19</v>
      </c>
      <c r="R94" s="12">
        <v>16</v>
      </c>
      <c r="S94" s="2">
        <f>ABS((R94-Q94)/Q94)*100%</f>
        <v>0.15789473684210525</v>
      </c>
      <c r="T94" s="1" t="s">
        <v>81</v>
      </c>
      <c r="U94" s="1" t="s">
        <v>87</v>
      </c>
      <c r="V94" s="1">
        <v>161</v>
      </c>
      <c r="W94" s="1">
        <v>182</v>
      </c>
      <c r="X94" s="2">
        <f>ABS((W94-V94)/V94)*100%</f>
        <v>0.13043478260869565</v>
      </c>
      <c r="Y94" s="1">
        <v>51</v>
      </c>
      <c r="Z94" s="1">
        <v>49</v>
      </c>
      <c r="AA94" s="6">
        <f>ABS((Z94-Y94)/Y94)*100%</f>
        <v>3.9215686274509803E-2</v>
      </c>
      <c r="AB94" s="1">
        <v>16</v>
      </c>
      <c r="AC94" s="1">
        <v>14</v>
      </c>
      <c r="AD94" s="2">
        <f>ABS((AC94-AB94)/AB94)*100%</f>
        <v>0.125</v>
      </c>
      <c r="AE94" s="1" t="s">
        <v>175</v>
      </c>
    </row>
    <row r="95" spans="1:31" x14ac:dyDescent="0.25">
      <c r="A95" s="5">
        <v>46098</v>
      </c>
      <c r="B95" s="1" t="s">
        <v>126</v>
      </c>
      <c r="C95" s="1">
        <v>19</v>
      </c>
      <c r="D95" s="1">
        <v>1.66</v>
      </c>
      <c r="E95" s="1">
        <v>55</v>
      </c>
      <c r="F95" s="1" t="s">
        <v>143</v>
      </c>
      <c r="G95" s="1" t="s">
        <v>149</v>
      </c>
      <c r="H95" s="20" t="s">
        <v>127</v>
      </c>
      <c r="I95" s="1" t="s">
        <v>80</v>
      </c>
      <c r="J95" s="1" t="s">
        <v>80</v>
      </c>
      <c r="K95" s="12">
        <v>55</v>
      </c>
      <c r="L95" s="12">
        <v>52</v>
      </c>
      <c r="M95" s="2">
        <f>ABS((L95-K95)/K95)*100%</f>
        <v>5.4545454545454543E-2</v>
      </c>
      <c r="N95" s="12">
        <v>90</v>
      </c>
      <c r="O95" s="12">
        <v>70</v>
      </c>
      <c r="P95" s="2">
        <f>ABS((O95-N95)/N95)*100%</f>
        <v>0.22222222222222221</v>
      </c>
      <c r="Q95" s="12">
        <v>27</v>
      </c>
      <c r="R95" s="12">
        <v>23</v>
      </c>
      <c r="S95" s="2">
        <f>ABS((R95-Q95)/Q95)*100%</f>
        <v>0.14814814814814814</v>
      </c>
      <c r="T95" s="21" t="s">
        <v>81</v>
      </c>
      <c r="U95" s="21" t="s">
        <v>81</v>
      </c>
      <c r="V95" s="1">
        <v>191</v>
      </c>
      <c r="W95" s="1">
        <v>191</v>
      </c>
      <c r="X95" s="2">
        <f>ABS((W95-V95)/V95)*100%</f>
        <v>0</v>
      </c>
      <c r="Y95" s="1">
        <v>51.5</v>
      </c>
      <c r="Z95" s="1">
        <v>59</v>
      </c>
      <c r="AA95" s="6">
        <f>ABS((Z95-Y95)/Y95)*100%</f>
        <v>0.14563106796116504</v>
      </c>
      <c r="AB95" s="1">
        <v>24.2</v>
      </c>
      <c r="AC95" s="1">
        <v>22.6</v>
      </c>
      <c r="AD95" s="2">
        <f>ABS((AC95-AB95)/AB95)*100%</f>
        <v>6.6115702479338762E-2</v>
      </c>
      <c r="AE95" s="1" t="s">
        <v>175</v>
      </c>
    </row>
    <row r="96" spans="1:31" x14ac:dyDescent="0.25">
      <c r="A96" s="5">
        <v>46098</v>
      </c>
      <c r="B96" s="20" t="s">
        <v>130</v>
      </c>
      <c r="C96" s="1">
        <v>20</v>
      </c>
      <c r="D96" s="1">
        <v>1.51</v>
      </c>
      <c r="E96" s="1">
        <v>53</v>
      </c>
      <c r="F96" s="1" t="s">
        <v>143</v>
      </c>
      <c r="G96" s="1" t="s">
        <v>131</v>
      </c>
      <c r="H96" s="20" t="s">
        <v>132</v>
      </c>
      <c r="I96" s="1" t="s">
        <v>151</v>
      </c>
      <c r="J96" s="1" t="s">
        <v>80</v>
      </c>
      <c r="K96" s="12">
        <v>31</v>
      </c>
      <c r="L96" s="12">
        <v>33</v>
      </c>
      <c r="M96" s="2">
        <f>ABS((L96-K96)/K96)*100%</f>
        <v>6.4516129032258063E-2</v>
      </c>
      <c r="N96" s="12">
        <v>104</v>
      </c>
      <c r="O96" s="12">
        <v>79</v>
      </c>
      <c r="P96" s="2">
        <f>ABS((O96-N96)/N96)*100%</f>
        <v>0.24038461538461539</v>
      </c>
      <c r="Q96" s="12">
        <v>19</v>
      </c>
      <c r="R96" s="12">
        <v>19</v>
      </c>
      <c r="S96" s="2">
        <f>ABS((R96-Q96)/Q96)*100%</f>
        <v>0</v>
      </c>
      <c r="T96" s="1" t="s">
        <v>88</v>
      </c>
      <c r="U96" s="1" t="s">
        <v>69</v>
      </c>
      <c r="V96" s="1">
        <v>183</v>
      </c>
      <c r="W96" s="1">
        <v>185</v>
      </c>
      <c r="X96" s="2">
        <f>ABS((W96-V96)/V96)*100%</f>
        <v>1.092896174863388E-2</v>
      </c>
      <c r="Y96" s="1">
        <v>37.9</v>
      </c>
      <c r="Z96" s="1">
        <v>40</v>
      </c>
      <c r="AA96" s="6">
        <f>ABS((Z96-Y96)/Y96)*100%</f>
        <v>5.5408970976253337E-2</v>
      </c>
      <c r="AB96" s="1">
        <v>26.5</v>
      </c>
      <c r="AC96" s="1">
        <v>27.2</v>
      </c>
      <c r="AD96" s="2">
        <f>ABS((AC96-AB96)/AB96)*100%</f>
        <v>2.6415094339622615E-2</v>
      </c>
      <c r="AE96" s="1" t="s">
        <v>177</v>
      </c>
    </row>
    <row r="97" spans="1:31" x14ac:dyDescent="0.25">
      <c r="A97" s="5">
        <v>46098</v>
      </c>
      <c r="B97" s="21" t="s">
        <v>134</v>
      </c>
      <c r="C97" s="1">
        <v>20</v>
      </c>
      <c r="D97" s="1">
        <v>1.75</v>
      </c>
      <c r="E97" s="1">
        <v>67</v>
      </c>
      <c r="F97" s="1" t="s">
        <v>143</v>
      </c>
      <c r="G97" s="1" t="s">
        <v>135</v>
      </c>
      <c r="H97" s="1" t="s">
        <v>165</v>
      </c>
      <c r="I97" s="1" t="s">
        <v>136</v>
      </c>
      <c r="J97" s="1" t="s">
        <v>136</v>
      </c>
      <c r="K97" s="12">
        <v>37</v>
      </c>
      <c r="L97" s="12">
        <v>44</v>
      </c>
      <c r="M97" s="2">
        <f>ABS((L97-K97)/K97)*100%</f>
        <v>0.1891891891891892</v>
      </c>
      <c r="N97" s="12">
        <v>87</v>
      </c>
      <c r="O97" s="12">
        <v>79</v>
      </c>
      <c r="P97" s="2">
        <f>ABS((O97-N97)/N97)*100%</f>
        <v>9.1954022988505746E-2</v>
      </c>
      <c r="Q97" s="12">
        <v>15</v>
      </c>
      <c r="R97" s="12">
        <v>15</v>
      </c>
      <c r="S97" s="2">
        <f>ABS((R97-Q97)/Q97)*100%</f>
        <v>0</v>
      </c>
      <c r="T97" s="1" t="s">
        <v>82</v>
      </c>
      <c r="U97" s="1" t="s">
        <v>87</v>
      </c>
      <c r="V97" s="1">
        <v>131</v>
      </c>
      <c r="W97" s="1">
        <v>138</v>
      </c>
      <c r="X97" s="2">
        <f>ABS((W97-V97)/V97)*100%</f>
        <v>5.3435114503816793E-2</v>
      </c>
      <c r="Y97" s="1">
        <v>52</v>
      </c>
      <c r="Z97" s="1">
        <v>45</v>
      </c>
      <c r="AA97" s="6">
        <f>ABS((Z97-Y97)/Y97)*100%</f>
        <v>0.13461538461538461</v>
      </c>
      <c r="AB97" s="1">
        <v>16</v>
      </c>
      <c r="AC97" s="1">
        <v>21</v>
      </c>
      <c r="AD97" s="2">
        <f>ABS((AC97-AB97)/AB97)*100%</f>
        <v>0.3125</v>
      </c>
      <c r="AE97" s="1" t="s">
        <v>179</v>
      </c>
    </row>
    <row r="98" spans="1:31" x14ac:dyDescent="0.25">
      <c r="A98" s="5">
        <v>46098</v>
      </c>
      <c r="B98" s="1" t="s">
        <v>150</v>
      </c>
      <c r="C98" s="1">
        <v>18</v>
      </c>
      <c r="D98" s="1">
        <v>1.67</v>
      </c>
      <c r="E98" s="1">
        <v>58</v>
      </c>
      <c r="F98" s="1" t="s">
        <v>143</v>
      </c>
      <c r="G98" s="1" t="s">
        <v>67</v>
      </c>
      <c r="H98" s="1" t="s">
        <v>79</v>
      </c>
      <c r="I98" s="1" t="s">
        <v>151</v>
      </c>
      <c r="J98" s="1" t="s">
        <v>151</v>
      </c>
      <c r="K98" s="12">
        <v>41</v>
      </c>
      <c r="L98" s="12">
        <v>39</v>
      </c>
      <c r="M98" s="2">
        <f>ABS((L98-K98)/K98)*100%</f>
        <v>4.878048780487805E-2</v>
      </c>
      <c r="N98" s="12">
        <v>79</v>
      </c>
      <c r="O98" s="12">
        <v>82</v>
      </c>
      <c r="P98" s="2">
        <f>ABS((O98-N98)/N98)*100%</f>
        <v>3.7974683544303799E-2</v>
      </c>
      <c r="Q98" s="12">
        <v>34</v>
      </c>
      <c r="R98" s="12">
        <v>30</v>
      </c>
      <c r="S98" s="2">
        <f>ABS((R98-Q98)/Q98)*100%</f>
        <v>0.11764705882352941</v>
      </c>
      <c r="T98" s="21" t="s">
        <v>81</v>
      </c>
      <c r="U98" s="21" t="s">
        <v>81</v>
      </c>
      <c r="V98" s="1">
        <v>174</v>
      </c>
      <c r="W98" s="1">
        <v>177</v>
      </c>
      <c r="X98" s="2">
        <f>ABS((W98-V98)/V98)*100%</f>
        <v>1.7241379310344827E-2</v>
      </c>
      <c r="Y98" s="1">
        <v>43</v>
      </c>
      <c r="Z98" s="1">
        <v>37.5</v>
      </c>
      <c r="AA98" s="6">
        <f>ABS((Z98-Y98)/Y98)*100%</f>
        <v>0.12790697674418605</v>
      </c>
      <c r="AB98" s="1">
        <v>10</v>
      </c>
      <c r="AC98" s="1">
        <v>12.9</v>
      </c>
      <c r="AD98" s="2">
        <f>ABS((AC98-AB98)/AB98)*100%</f>
        <v>0.29000000000000004</v>
      </c>
      <c r="AE98" s="1" t="s">
        <v>175</v>
      </c>
    </row>
    <row r="99" spans="1:31" x14ac:dyDescent="0.25">
      <c r="A99" s="10">
        <v>46098</v>
      </c>
      <c r="B99" s="35" t="s">
        <v>139</v>
      </c>
      <c r="C99" s="11">
        <v>19</v>
      </c>
      <c r="D99" s="11">
        <v>1.66</v>
      </c>
      <c r="E99" s="11">
        <v>0</v>
      </c>
      <c r="F99" s="11" t="s">
        <v>143</v>
      </c>
      <c r="G99" s="11" t="s">
        <v>78</v>
      </c>
      <c r="H99" s="35" t="s">
        <v>140</v>
      </c>
      <c r="I99" s="11" t="s">
        <v>80</v>
      </c>
      <c r="J99" s="11" t="s">
        <v>80</v>
      </c>
      <c r="K99" s="12">
        <v>41</v>
      </c>
      <c r="L99" s="12">
        <v>38</v>
      </c>
      <c r="M99" s="13">
        <f>ABS((L99-K99)/K99)*100%</f>
        <v>7.3170731707317069E-2</v>
      </c>
      <c r="N99" s="12">
        <v>59</v>
      </c>
      <c r="O99" s="12">
        <v>54</v>
      </c>
      <c r="P99" s="13">
        <f>ABS((O99-N99)/N99)*100%</f>
        <v>8.4745762711864403E-2</v>
      </c>
      <c r="Q99" s="12">
        <v>23</v>
      </c>
      <c r="R99" s="12">
        <v>23</v>
      </c>
      <c r="S99" s="13">
        <f>ABS((R99-Q99)/Q99)*100%</f>
        <v>0</v>
      </c>
      <c r="T99" s="11" t="s">
        <v>164</v>
      </c>
      <c r="U99" s="11" t="s">
        <v>164</v>
      </c>
      <c r="V99" s="11">
        <v>177</v>
      </c>
      <c r="W99" s="11">
        <v>173</v>
      </c>
      <c r="X99" s="13">
        <f>ABS((W99-V99)/V99)*100%</f>
        <v>2.2598870056497175E-2</v>
      </c>
      <c r="Y99" s="11">
        <v>18</v>
      </c>
      <c r="Z99" s="11">
        <v>19.8</v>
      </c>
      <c r="AA99" s="14">
        <f>ABS((Z99-Y99)/Y99)*100%</f>
        <v>0.10000000000000003</v>
      </c>
      <c r="AB99" s="1">
        <v>30</v>
      </c>
      <c r="AC99" s="1">
        <v>33</v>
      </c>
      <c r="AD99" s="2">
        <f>ABS((AC99-AB99)/AB99)*100%</f>
        <v>0.1</v>
      </c>
      <c r="AE99" s="11" t="s">
        <v>175</v>
      </c>
    </row>
  </sheetData>
  <phoneticPr fontId="8" type="noConversion"/>
  <conditionalFormatting sqref="K30:K99">
    <cfRule type="cellIs" dxfId="23" priority="22" operator="between">
      <formula>30</formula>
      <formula>45</formula>
    </cfRule>
    <cfRule type="cellIs" dxfId="22" priority="23" operator="greaterThanOrEqual">
      <formula>46</formula>
    </cfRule>
    <cfRule type="cellIs" dxfId="21" priority="24" operator="lessThan">
      <formula>30</formula>
    </cfRule>
  </conditionalFormatting>
  <conditionalFormatting sqref="K2:L29">
    <cfRule type="cellIs" dxfId="20" priority="29" operator="between">
      <formula>30</formula>
      <formula>45</formula>
    </cfRule>
    <cfRule type="cellIs" dxfId="19" priority="30" operator="greaterThanOrEqual">
      <formula>46</formula>
    </cfRule>
    <cfRule type="cellIs" dxfId="18" priority="31" operator="lessThan">
      <formula>30</formula>
    </cfRule>
  </conditionalFormatting>
  <conditionalFormatting sqref="L30:L99">
    <cfRule type="cellIs" dxfId="17" priority="6" operator="between">
      <formula>30</formula>
      <formula>45</formula>
    </cfRule>
    <cfRule type="cellIs" dxfId="16" priority="7" operator="greaterThanOrEqual">
      <formula>46</formula>
    </cfRule>
    <cfRule type="cellIs" dxfId="15" priority="8" operator="lessThan">
      <formula>30</formula>
    </cfRule>
  </conditionalFormatting>
  <conditionalFormatting sqref="M2:M99">
    <cfRule type="colorScale" priority="49">
      <colorScale>
        <cfvo type="num" val="0.1"/>
        <cfvo type="num" val="0.15"/>
        <color theme="0"/>
        <color rgb="FFFF0000"/>
      </colorScale>
    </cfRule>
  </conditionalFormatting>
  <conditionalFormatting sqref="N30:N99">
    <cfRule type="cellIs" dxfId="14" priority="16" operator="greaterThan">
      <formula>45</formula>
    </cfRule>
    <cfRule type="cellIs" dxfId="13" priority="17" operator="between">
      <formula>25</formula>
      <formula>45</formula>
    </cfRule>
    <cfRule type="cellIs" dxfId="12" priority="18" operator="between">
      <formula>0</formula>
      <formula>25</formula>
    </cfRule>
  </conditionalFormatting>
  <conditionalFormatting sqref="N2:O29">
    <cfRule type="cellIs" dxfId="11" priority="37" operator="greaterThan">
      <formula>45</formula>
    </cfRule>
    <cfRule type="cellIs" dxfId="10" priority="38" operator="between">
      <formula>25</formula>
      <formula>45</formula>
    </cfRule>
    <cfRule type="cellIs" dxfId="9" priority="39" operator="between">
      <formula>0</formula>
      <formula>25</formula>
    </cfRule>
  </conditionalFormatting>
  <conditionalFormatting sqref="O30:O99">
    <cfRule type="cellIs" dxfId="8" priority="3" operator="greaterThan">
      <formula>45</formula>
    </cfRule>
    <cfRule type="cellIs" dxfId="7" priority="4" operator="between">
      <formula>25</formula>
      <formula>45</formula>
    </cfRule>
    <cfRule type="cellIs" dxfId="6" priority="5" operator="between">
      <formula>0</formula>
      <formula>25</formula>
    </cfRule>
  </conditionalFormatting>
  <conditionalFormatting sqref="P2:P99">
    <cfRule type="colorScale" priority="48">
      <colorScale>
        <cfvo type="num" val="0.1"/>
        <cfvo type="num" val="0.15"/>
        <color theme="0"/>
        <color rgb="FFFF0000"/>
      </colorScale>
    </cfRule>
  </conditionalFormatting>
  <conditionalFormatting sqref="Q30:Q99">
    <cfRule type="cellIs" dxfId="5" priority="11" operator="lessThan">
      <formula>20</formula>
    </cfRule>
    <cfRule type="cellIs" dxfId="4" priority="12" operator="greaterThanOrEqual">
      <formula>20</formula>
    </cfRule>
  </conditionalFormatting>
  <conditionalFormatting sqref="Q2:R29">
    <cfRule type="cellIs" dxfId="3" priority="35" operator="lessThan">
      <formula>20</formula>
    </cfRule>
    <cfRule type="cellIs" dxfId="2" priority="36" operator="greaterThanOrEqual">
      <formula>20</formula>
    </cfRule>
  </conditionalFormatting>
  <conditionalFormatting sqref="R30:R99">
    <cfRule type="cellIs" dxfId="1" priority="1" operator="lessThan">
      <formula>20</formula>
    </cfRule>
    <cfRule type="cellIs" dxfId="0" priority="2" operator="greaterThanOrEqual">
      <formula>20</formula>
    </cfRule>
  </conditionalFormatting>
  <conditionalFormatting sqref="S2:S99">
    <cfRule type="colorScale" priority="34">
      <colorScale>
        <cfvo type="num" val="0.1"/>
        <cfvo type="num" val="0.15"/>
        <color theme="0"/>
        <color rgb="FFFF0000"/>
      </colorScale>
    </cfRule>
  </conditionalFormatting>
  <conditionalFormatting sqref="X2:X99">
    <cfRule type="colorScale" priority="33">
      <colorScale>
        <cfvo type="num" val="0.1"/>
        <cfvo type="num" val="0.15"/>
        <color theme="0"/>
        <color rgb="FFFF0000"/>
      </colorScale>
    </cfRule>
  </conditionalFormatting>
  <conditionalFormatting sqref="AA2:AA99">
    <cfRule type="colorScale" priority="32">
      <colorScale>
        <cfvo type="num" val="0.1"/>
        <cfvo type="num" val="0.15"/>
        <color theme="0"/>
        <color rgb="FFFF0000"/>
      </colorScale>
    </cfRule>
  </conditionalFormatting>
  <conditionalFormatting sqref="AD2:AD99">
    <cfRule type="colorScale" priority="28">
      <colorScale>
        <cfvo type="num" val="0.1"/>
        <cfvo type="num" val="0.15"/>
        <color theme="0"/>
        <color rgb="FFFF0000"/>
      </colorScale>
    </cfRule>
  </conditionalFormatting>
  <dataValidations count="2">
    <dataValidation type="custom" allowBlank="1" showDropDown="1" sqref="S30:S86" xr:uid="{ED1258C6-F07B-4B09-A9F9-C7500722C8C1}">
      <formula1>AND(ISNUMBER(S30),(NOT(OR(NOT(ISERROR(DATEVALUE(S30))), AND(ISNUMBER(S30), LEFT(CELL("format", S30))="D")))))</formula1>
    </dataValidation>
    <dataValidation type="custom" allowBlank="1" showDropDown="1" sqref="A30:A86" xr:uid="{69CE37D8-88BE-4EA9-B30F-7CE78FFE627D}">
      <formula1>OR(NOT(ISERROR(DATEVALUE(A30))), AND(ISNUMBER(A30), LEFT(CELL("format", A30))="D"))</formula1>
    </dataValidation>
  </dataValidations>
  <pageMargins left="0.75" right="0.75" top="1" bottom="1" header="0.5" footer="0.5"/>
  <pageSetup paperSize="9" orientation="portrait" horizontalDpi="1200" verticalDpi="120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Avaliacao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Bertizola</cp:lastModifiedBy>
  <dcterms:created xsi:type="dcterms:W3CDTF">2025-09-18T12:08:42Z</dcterms:created>
  <dcterms:modified xsi:type="dcterms:W3CDTF">2026-03-21T21:54:52Z</dcterms:modified>
</cp:coreProperties>
</file>